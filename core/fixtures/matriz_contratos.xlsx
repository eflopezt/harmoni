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pconcivcialtda.sharepoint.com/sites/ProyectosPeru/Documentos compartidos/013 - Hospital Lorena, E2/07. Administración Obra/Recursos humanos/02 Administración de Personal/Control de Contratos/"/>
    </mc:Choice>
  </mc:AlternateContent>
  <xr:revisionPtr revIDLastSave="156" documentId="8_{52080D7A-2A32-4521-BF9B-3E934DA6016C}" xr6:coauthVersionLast="47" xr6:coauthVersionMax="47" xr10:uidLastSave="{4AB918AD-DE20-4C7D-81E1-20DA4C6FCEFC}"/>
  <bookViews>
    <workbookView xWindow="-108" yWindow="-108" windowWidth="23256" windowHeight="12456" xr2:uid="{EE96851B-0337-4099-BCF2-69135A9F6C1F}"/>
  </bookViews>
  <sheets>
    <sheet name="Matriz contrato Activos" sheetId="1" r:id="rId1"/>
    <sheet name="Liquidados" sheetId="3" r:id="rId2"/>
  </sheets>
  <definedNames>
    <definedName name="_xlnm._FilterDatabase" localSheetId="1" hidden="1">Liquidados!$A$2:$AN$288</definedName>
    <definedName name="_xlnm._FilterDatabase" localSheetId="0" hidden="1">'Matriz contrato Activos'!$A$2:$AI$172</definedName>
    <definedName name="_xlnm.Print_Area" localSheetId="0">'Matriz contrato Activos'!$A$1:$AI$289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97" i="3" l="1"/>
  <c r="AI296" i="3"/>
  <c r="AI295" i="3"/>
  <c r="AI294" i="3"/>
  <c r="AI293" i="3"/>
  <c r="AI292" i="3"/>
  <c r="AI291" i="3"/>
  <c r="AI290" i="3"/>
  <c r="AI289" i="3"/>
  <c r="AI288" i="3"/>
  <c r="AI287" i="3"/>
  <c r="AI286" i="3"/>
  <c r="AI285" i="3"/>
  <c r="AI12" i="1"/>
  <c r="AI120" i="1"/>
  <c r="AI284" i="3"/>
  <c r="A284" i="3"/>
  <c r="AI283" i="3"/>
  <c r="A283" i="3"/>
  <c r="AI282" i="3"/>
  <c r="A282" i="3"/>
  <c r="AI281" i="3"/>
  <c r="A281" i="3"/>
  <c r="AI280" i="3"/>
  <c r="A280" i="3"/>
  <c r="AI279" i="3"/>
  <c r="A279" i="3"/>
  <c r="AI278" i="3"/>
  <c r="A278" i="3"/>
  <c r="AI277" i="3"/>
  <c r="A277" i="3"/>
  <c r="AI276" i="3"/>
  <c r="A276" i="3"/>
  <c r="AI275" i="3"/>
  <c r="A275" i="3"/>
  <c r="AI274" i="3"/>
  <c r="A274" i="3"/>
  <c r="AI273" i="3"/>
  <c r="A273" i="3"/>
  <c r="AI272" i="3"/>
  <c r="A272" i="3"/>
  <c r="AI271" i="3"/>
  <c r="A271" i="3"/>
  <c r="AI270" i="3"/>
  <c r="A270" i="3"/>
  <c r="AI269" i="3"/>
  <c r="A269" i="3"/>
  <c r="AI268" i="3"/>
  <c r="A268" i="3"/>
  <c r="AI267" i="3"/>
  <c r="A267" i="3"/>
  <c r="AI266" i="3"/>
  <c r="A266" i="3"/>
  <c r="AI265" i="3"/>
  <c r="A265" i="3"/>
  <c r="A264" i="3"/>
  <c r="AI256" i="3"/>
  <c r="AD255" i="3"/>
  <c r="AD254" i="3"/>
  <c r="AD253" i="3"/>
  <c r="AD252" i="3"/>
  <c r="AD251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44" i="3"/>
  <c r="AD143" i="3"/>
  <c r="AD142" i="3"/>
  <c r="AD141" i="3"/>
  <c r="AD140" i="3"/>
  <c r="AD139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I72" i="1" l="1"/>
  <c r="AI70" i="1"/>
  <c r="AI158" i="1"/>
  <c r="AI58" i="1"/>
  <c r="AI91" i="1"/>
  <c r="AI82" i="1"/>
  <c r="AI3" i="1"/>
  <c r="AI172" i="1"/>
  <c r="AI171" i="1"/>
  <c r="AI170" i="1"/>
  <c r="AI169" i="1"/>
  <c r="AI168" i="1"/>
  <c r="AI167" i="1"/>
  <c r="AI166" i="1"/>
  <c r="AI165" i="1"/>
  <c r="AI164" i="1"/>
  <c r="AI163" i="1"/>
  <c r="AI162" i="1"/>
  <c r="AI144" i="1"/>
  <c r="AI160" i="1"/>
  <c r="AI136" i="1"/>
  <c r="AI157" i="1"/>
  <c r="AI156" i="1"/>
  <c r="AI155" i="1"/>
  <c r="AI86" i="1"/>
  <c r="AI153" i="1"/>
  <c r="AI152" i="1"/>
  <c r="AI83" i="1"/>
  <c r="AI150" i="1"/>
  <c r="AI149" i="1"/>
  <c r="AI148" i="1"/>
  <c r="AI147" i="1"/>
  <c r="AI146" i="1"/>
  <c r="AI145" i="1"/>
  <c r="AI75" i="1"/>
  <c r="AI143" i="1"/>
  <c r="AI142" i="1"/>
  <c r="AI141" i="1"/>
  <c r="AI66" i="1"/>
  <c r="AI139" i="1"/>
  <c r="AI138" i="1"/>
  <c r="AI137" i="1"/>
  <c r="AI44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19" i="1"/>
  <c r="AI118" i="1"/>
  <c r="AI117" i="1"/>
  <c r="AI116" i="1"/>
  <c r="AI115" i="1"/>
  <c r="AI114" i="1"/>
  <c r="AI113" i="1"/>
  <c r="AI112" i="1"/>
  <c r="AI111" i="1"/>
  <c r="AI110" i="1"/>
  <c r="AI31" i="1"/>
  <c r="AI109" i="1"/>
  <c r="AI108" i="1"/>
  <c r="AI107" i="1"/>
  <c r="AI106" i="1"/>
  <c r="AI105" i="1"/>
  <c r="AI104" i="1"/>
  <c r="AI102" i="1"/>
  <c r="AI101" i="1"/>
  <c r="AI100" i="1"/>
  <c r="AI99" i="1"/>
  <c r="AI98" i="1"/>
  <c r="AI97" i="1"/>
  <c r="AI140" i="1"/>
  <c r="AI96" i="1"/>
  <c r="AI95" i="1"/>
  <c r="AI94" i="1"/>
  <c r="AI93" i="1"/>
  <c r="AI92" i="1"/>
  <c r="AI90" i="1"/>
  <c r="AI89" i="1"/>
  <c r="AI88" i="1"/>
  <c r="AI87" i="1"/>
  <c r="AI85" i="1"/>
  <c r="AI84" i="1"/>
  <c r="AI49" i="1"/>
  <c r="AI81" i="1"/>
  <c r="AI159" i="1"/>
  <c r="AI79" i="1"/>
  <c r="AI78" i="1"/>
  <c r="AI77" i="1"/>
  <c r="AI76" i="1"/>
  <c r="AI80" i="1"/>
  <c r="AI74" i="1"/>
  <c r="AI73" i="1"/>
  <c r="AI71" i="1"/>
  <c r="AI69" i="1"/>
  <c r="AI68" i="1"/>
  <c r="AI67" i="1"/>
  <c r="AI59" i="1"/>
  <c r="AI65" i="1"/>
  <c r="AI64" i="1"/>
  <c r="AI63" i="1"/>
  <c r="AI62" i="1"/>
  <c r="AI61" i="1"/>
  <c r="AI60" i="1"/>
  <c r="AI6" i="1"/>
  <c r="AI57" i="1"/>
  <c r="AI56" i="1"/>
  <c r="AI55" i="1"/>
  <c r="AI54" i="1"/>
  <c r="AI53" i="1"/>
  <c r="AI52" i="1"/>
  <c r="AI51" i="1"/>
  <c r="AI50" i="1"/>
  <c r="AI48" i="1"/>
  <c r="AI47" i="1"/>
  <c r="AI46" i="1"/>
  <c r="AI45" i="1"/>
  <c r="AI161" i="1"/>
  <c r="AI43" i="1"/>
  <c r="AI154" i="1"/>
  <c r="AI42" i="1"/>
  <c r="AI41" i="1"/>
  <c r="AI40" i="1"/>
  <c r="AI39" i="1"/>
  <c r="AI38" i="1"/>
  <c r="AI37" i="1"/>
  <c r="AI36" i="1"/>
  <c r="AI35" i="1"/>
  <c r="AI34" i="1"/>
  <c r="AI33" i="1"/>
  <c r="AI32" i="1"/>
  <c r="AI19" i="1"/>
  <c r="AI30" i="1"/>
  <c r="AI29" i="1"/>
  <c r="AI28" i="1"/>
  <c r="AI27" i="1"/>
  <c r="AI26" i="1"/>
  <c r="AI25" i="1"/>
  <c r="AI24" i="1"/>
  <c r="AI23" i="1"/>
  <c r="AI22" i="1"/>
  <c r="AI21" i="1"/>
  <c r="AI20" i="1"/>
  <c r="AI151" i="1"/>
  <c r="AI18" i="1"/>
  <c r="AI17" i="1"/>
  <c r="AI16" i="1"/>
  <c r="AI15" i="1"/>
  <c r="AI14" i="1"/>
  <c r="AI13" i="1"/>
  <c r="AI11" i="1"/>
  <c r="AI10" i="1"/>
  <c r="AI9" i="1"/>
  <c r="AI8" i="1"/>
  <c r="AI7" i="1"/>
  <c r="AI5" i="1"/>
  <c r="AI4" i="1"/>
  <c r="A3" i="1"/>
  <c r="A4" i="1" s="1"/>
  <c r="A5" i="1" s="1"/>
  <c r="A6" i="1" s="1"/>
  <c r="A7" i="1" s="1"/>
  <c r="A8" i="1" s="1"/>
  <c r="A9" i="1" s="1"/>
  <c r="A10" i="1" s="1"/>
  <c r="A285" i="3" l="1"/>
  <c r="A286" i="3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287" i="3" l="1"/>
  <c r="A31" i="1" s="1"/>
  <c r="A32" i="1" s="1"/>
  <c r="A33" i="1" s="1"/>
  <c r="A34" i="1" s="1"/>
  <c r="A35" i="1" s="1"/>
  <c r="A36" i="1" s="1"/>
  <c r="A37" i="1" s="1"/>
  <c r="A288" i="3" l="1"/>
  <c r="A38" i="1" s="1"/>
  <c r="A39" i="1" s="1"/>
  <c r="A40" i="1" s="1"/>
  <c r="A41" i="1" s="1"/>
  <c r="A42" i="1" s="1"/>
  <c r="A43" i="1" s="1"/>
  <c r="A289" i="3" l="1"/>
  <c r="A44" i="1" s="1"/>
  <c r="A45" i="1" s="1"/>
  <c r="A46" i="1" s="1"/>
  <c r="A47" i="1" s="1"/>
  <c r="A48" i="1" s="1"/>
  <c r="A49" i="1" s="1"/>
  <c r="A50" i="1" s="1"/>
  <c r="A51" i="1" s="1"/>
  <c r="A52" i="1" s="1"/>
  <c r="A290" i="3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291" i="3" l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292" i="3" l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293" i="3" l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294" i="3" l="1"/>
  <c r="A124" i="1" s="1"/>
  <c r="A125" i="1" s="1"/>
  <c r="A126" i="1" s="1"/>
  <c r="A295" i="3" l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296" i="3" l="1"/>
  <c r="A297" i="3" l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KATHIUSCA CHAPARRO</author>
  </authors>
  <commentList>
    <comment ref="S25" authorId="0" shapeId="0" xr:uid="{2C6A4D06-8A51-415F-82DA-9E0C288B2F38}">
      <text>
        <r>
          <rPr>
            <sz val="9"/>
            <color indexed="81"/>
            <rFont val="Tahoma"/>
            <family val="2"/>
          </rPr>
          <t xml:space="preserve">ADEN. INCREMENTO SALARIA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Roberto Nieto Martinez</author>
    <author>Consorcio SRT</author>
    <author>KATHIUSCA CHAPARRO</author>
  </authors>
  <commentList>
    <comment ref="O10" authorId="0" shapeId="0" xr:uid="{ED05F78E-483D-457C-BEBA-2461D3D79E8D}">
      <text>
        <r>
          <rPr>
            <b/>
            <sz val="9"/>
            <color indexed="81"/>
            <rFont val="Tahoma"/>
            <family val="2"/>
          </rPr>
          <t>FALTA CONTRATO DEL MES DE 06/2022.</t>
        </r>
      </text>
    </comment>
    <comment ref="H19" authorId="1" shapeId="0" xr:uid="{E147D76D-D783-4D7F-9589-84A9674C0F07}">
      <text>
        <r>
          <rPr>
            <b/>
            <sz val="9"/>
            <color indexed="81"/>
            <rFont val="Tahoma"/>
            <family val="2"/>
          </rPr>
          <t>Consorcio SRT:</t>
        </r>
        <r>
          <rPr>
            <sz val="9"/>
            <color indexed="81"/>
            <rFont val="Tahoma"/>
            <family val="2"/>
          </rPr>
          <t xml:space="preserve">
Falta firma de Havai</t>
        </r>
      </text>
    </comment>
    <comment ref="M58" authorId="1" shapeId="0" xr:uid="{24ABA9B2-62A8-4421-8D29-F21B82A4381F}">
      <text>
        <r>
          <rPr>
            <b/>
            <sz val="9"/>
            <color indexed="81"/>
            <rFont val="Tahoma"/>
            <family val="2"/>
          </rPr>
          <t>Consorcio SRT:</t>
        </r>
        <r>
          <rPr>
            <sz val="9"/>
            <color indexed="81"/>
            <rFont val="Tahoma"/>
            <family val="2"/>
          </rPr>
          <t xml:space="preserve">
Falta firma de Havai</t>
        </r>
      </text>
    </comment>
    <comment ref="N131" authorId="2" shapeId="0" xr:uid="{AB4D1308-BEB8-4263-8079-D4C846ACD642}">
      <text>
        <r>
          <rPr>
            <sz val="9"/>
            <color indexed="81"/>
            <rFont val="Tahoma"/>
            <family val="2"/>
          </rPr>
          <t xml:space="preserve">FALTA FIRMA R.L.
</t>
        </r>
      </text>
    </comment>
    <comment ref="Q131" authorId="2" shapeId="0" xr:uid="{D72ED13D-2C0D-49FD-87CC-AB7ECD7D8B34}">
      <text>
        <r>
          <rPr>
            <sz val="9"/>
            <color indexed="81"/>
            <rFont val="Tahoma"/>
            <family val="2"/>
          </rPr>
          <t xml:space="preserve">ADEN: AUMENTO S/.
</t>
        </r>
      </text>
    </comment>
    <comment ref="Q139" authorId="2" shapeId="0" xr:uid="{DDBE904C-E75B-4583-BB70-48E654A624FA}">
      <text>
        <r>
          <rPr>
            <sz val="9"/>
            <color indexed="81"/>
            <rFont val="Tahoma"/>
            <family val="2"/>
          </rPr>
          <t xml:space="preserve">adenda
</t>
        </r>
      </text>
    </comment>
    <comment ref="U163" authorId="2" shapeId="0" xr:uid="{3FC85CAE-289D-493F-825E-14988947A481}">
      <text>
        <r>
          <rPr>
            <b/>
            <sz val="9"/>
            <color indexed="81"/>
            <rFont val="Tahoma"/>
            <family val="2"/>
          </rPr>
          <t xml:space="preserve">CAMBIO DE PUESTO 
AUMENTO S/
</t>
        </r>
      </text>
    </comment>
    <comment ref="Q211" authorId="2" shapeId="0" xr:uid="{8A8FCDDC-E0E3-41C8-936C-1A8E739DFB67}">
      <text>
        <r>
          <rPr>
            <sz val="9"/>
            <color indexed="81"/>
            <rFont val="Tahoma"/>
            <family val="2"/>
          </rPr>
          <t>ADEN: CAMBIO DE PUESTO</t>
        </r>
      </text>
    </comment>
    <comment ref="Q227" authorId="2" shapeId="0" xr:uid="{38C86DB8-62D6-47BE-9FE7-0DFB0A7BE2AC}">
      <text>
        <r>
          <rPr>
            <sz val="9"/>
            <color indexed="81"/>
            <rFont val="Tahoma"/>
            <family val="2"/>
          </rPr>
          <t xml:space="preserve">ADEN. AUMENTO DE s/. 
</t>
        </r>
      </text>
    </comment>
  </commentList>
</comments>
</file>

<file path=xl/sharedStrings.xml><?xml version="1.0" encoding="utf-8"?>
<sst xmlns="http://schemas.openxmlformats.org/spreadsheetml/2006/main" count="4569" uniqueCount="2310">
  <si>
    <t>Item</t>
  </si>
  <si>
    <t>DNI O CE</t>
  </si>
  <si>
    <t>APELLIDOS Y NOMBRES</t>
  </si>
  <si>
    <t>CORREO</t>
  </si>
  <si>
    <t>CARGO</t>
  </si>
  <si>
    <t>AREA</t>
  </si>
  <si>
    <t xml:space="preserve">DIRECCION </t>
  </si>
  <si>
    <t>DISTRITO</t>
  </si>
  <si>
    <t>PROVINCIA</t>
  </si>
  <si>
    <t>DEPARTAMENTO</t>
  </si>
  <si>
    <t>TIPO DE CONTRATO</t>
  </si>
  <si>
    <t>BASICO</t>
  </si>
  <si>
    <t>ALIMENTACION</t>
  </si>
  <si>
    <t>HOSPEDAJE</t>
  </si>
  <si>
    <t>FECHA DE INGRESO A NOMINA</t>
  </si>
  <si>
    <t>TERMINO DE CONTRATO</t>
  </si>
  <si>
    <t>01 Prorroga</t>
  </si>
  <si>
    <t>02 Prorroga</t>
  </si>
  <si>
    <t>03 Prorroga</t>
  </si>
  <si>
    <t>04 Prorroga</t>
  </si>
  <si>
    <t>05 Prorroga</t>
  </si>
  <si>
    <t>06 Prorroga</t>
  </si>
  <si>
    <t>07 Prorroga</t>
  </si>
  <si>
    <t>08 Prorroga</t>
  </si>
  <si>
    <t>09 Prorroga</t>
  </si>
  <si>
    <t>10 Prorroga</t>
  </si>
  <si>
    <t>11 Prorroga</t>
  </si>
  <si>
    <t>12 Prorroga</t>
  </si>
  <si>
    <t>13 Prorroga</t>
  </si>
  <si>
    <t>14 Prorroga</t>
  </si>
  <si>
    <t>15 Prorroga</t>
  </si>
  <si>
    <t>16 Prorroga</t>
  </si>
  <si>
    <t>17 Prorroga</t>
  </si>
  <si>
    <t>18 Prorroga</t>
  </si>
  <si>
    <t>ULTIMA PRORROGA</t>
  </si>
  <si>
    <t>43290334</t>
  </si>
  <si>
    <t xml:space="preserve">ABAD SALAS CARLOS ALBERTO </t>
  </si>
  <si>
    <t xml:space="preserve">caas30@hotmail.com </t>
  </si>
  <si>
    <t>AUXILIAR DE SEGURIDAD PATRIMONIAL</t>
  </si>
  <si>
    <t xml:space="preserve">SEGURIDAD PATRIMONIAL </t>
  </si>
  <si>
    <t xml:space="preserve">ESQUINA CUATRO TORRES Y KAWARINAS FRAC 2 DPTO 503 </t>
  </si>
  <si>
    <t>WANCHAQ</t>
  </si>
  <si>
    <t xml:space="preserve">CUSCO </t>
  </si>
  <si>
    <t xml:space="preserve">FISCALIZABLE </t>
  </si>
  <si>
    <t>48000903</t>
  </si>
  <si>
    <t>ACUÑA OBREGON JULIE TERESA</t>
  </si>
  <si>
    <t>julie.acunaobregon@gmail.com</t>
  </si>
  <si>
    <t>COORDINADOR DE OFICINA TÉCNICA</t>
  </si>
  <si>
    <t>OFICINA TECNICA</t>
  </si>
  <si>
    <t>URB. UCCHULLO GRANDE P-15</t>
  </si>
  <si>
    <t>CUSCO</t>
  </si>
  <si>
    <t>CONFIANZA</t>
  </si>
  <si>
    <t>43600466</t>
  </si>
  <si>
    <t>AGUIRRE CAHUANA YAN PAUL</t>
  </si>
  <si>
    <t xml:space="preserve">tunokri@gmail.com </t>
  </si>
  <si>
    <t>ASISTENTE DE ALMACEN</t>
  </si>
  <si>
    <t>SERVICIOS GENERALES Y LOGISTICA</t>
  </si>
  <si>
    <t>CA. PUMACAHUA 222 URB TAHUANTINSUYO</t>
  </si>
  <si>
    <t>71405212</t>
  </si>
  <si>
    <t>ALBERCA CASTILLO RUBEN AUGUSTO</t>
  </si>
  <si>
    <t xml:space="preserve">rb.alberca@gmail.com </t>
  </si>
  <si>
    <t>MODELADOR BIM</t>
  </si>
  <si>
    <t>BIM</t>
  </si>
  <si>
    <t>ASENT.H. LA PRIMAVERA MZ. F1 LT. 14</t>
  </si>
  <si>
    <t>CASTILLA</t>
  </si>
  <si>
    <t>PIURA</t>
  </si>
  <si>
    <t>75682513</t>
  </si>
  <si>
    <t>ALFARO MARTINEZ GRECIA XIOMARA</t>
  </si>
  <si>
    <t xml:space="preserve">greshia.15@gmail.com </t>
  </si>
  <si>
    <t>ASISTENTE DE PROCURA</t>
  </si>
  <si>
    <t xml:space="preserve">PROCURA </t>
  </si>
  <si>
    <t>URB ALAMEDA LIMA NORTE II ETAPA MZ. C9 LT. 10</t>
  </si>
  <si>
    <t>SANTA ROSA</t>
  </si>
  <si>
    <t>LIMA</t>
  </si>
  <si>
    <t>48177998</t>
  </si>
  <si>
    <t>ALVARO CASTRO  JOSE LUIS</t>
  </si>
  <si>
    <t>jlalvarocastro@gmail.com</t>
  </si>
  <si>
    <t xml:space="preserve">INSTALADOR DE PVC Y VIDRIOS </t>
  </si>
  <si>
    <t>PRODUCCION-INTERVENCION FACONSE</t>
  </si>
  <si>
    <t>ASOC. PRO VIV. CAMINO REAL CUSCO MZ. T LT. 7</t>
  </si>
  <si>
    <t>18/10/2025</t>
  </si>
  <si>
    <t>46275287</t>
  </si>
  <si>
    <t>ANDRADE ROJAS MELISSA JANE</t>
  </si>
  <si>
    <t xml:space="preserve">melar2204@gmail.com </t>
  </si>
  <si>
    <t>ASISTENTE DE OFICINA TECNICA</t>
  </si>
  <si>
    <t>OFICINA TECNICA-INTERVENCION EISSA</t>
  </si>
  <si>
    <t>JR. TARAPACA 365 INT. 05 1ER.</t>
  </si>
  <si>
    <t>HUANUCO</t>
  </si>
  <si>
    <t>73451822</t>
  </si>
  <si>
    <t>AÑANCA QUISPE JHON WILMER</t>
  </si>
  <si>
    <t xml:space="preserve">jhonaaanancaquispe51@gmail.com </t>
  </si>
  <si>
    <t>MZ R2 LT 2 ASENT.H. BAYOVAR AMPLIACION</t>
  </si>
  <si>
    <t>SAN JUAN DE LURIGANCHO</t>
  </si>
  <si>
    <t>40548472</t>
  </si>
  <si>
    <t>APAZA TITO ANTENOR</t>
  </si>
  <si>
    <t xml:space="preserve">antenorapazatito3@gmail.com </t>
  </si>
  <si>
    <t>CONDUCTOR DE VEHICULO LIVIANO</t>
  </si>
  <si>
    <t>AV. LOS LIBERTADORES S/N C.POBLADO KEPASHIATO</t>
  </si>
  <si>
    <t>KUMPIRUSHIATO</t>
  </si>
  <si>
    <t>LA CONVENCION</t>
  </si>
  <si>
    <t>45917823</t>
  </si>
  <si>
    <t>ATAHUAMAN CHAVEZ LEYDI ODA</t>
  </si>
  <si>
    <t>arq.leydi.ach@gmail.com</t>
  </si>
  <si>
    <t>ARQUITECTO ESPECIALISTA</t>
  </si>
  <si>
    <t>URB SANTA VICTORIA B-13</t>
  </si>
  <si>
    <t>03689683</t>
  </si>
  <si>
    <t>ATOCHE MEDINA CARMEN LILIANA</t>
  </si>
  <si>
    <t xml:space="preserve">carmenatomed@gmail.com </t>
  </si>
  <si>
    <t>AUXILIAR DE LIMPIEZA</t>
  </si>
  <si>
    <t>CALLE EL CONDOR 114 URB.SANTA ROSA</t>
  </si>
  <si>
    <t>SULLANA</t>
  </si>
  <si>
    <t>43935996</t>
  </si>
  <si>
    <t>ATOCHE PECHO RANDY ARNALDO</t>
  </si>
  <si>
    <t>randy.atoche@gmail.com</t>
  </si>
  <si>
    <t>INGENIERO DE INSTALACIONES ELECTROMECANICAS</t>
  </si>
  <si>
    <t xml:space="preserve">COMMISSIONING </t>
  </si>
  <si>
    <t>JR. ALMTE. MARTIN GUISSE 1564</t>
  </si>
  <si>
    <t>LINCE</t>
  </si>
  <si>
    <t>46127028</t>
  </si>
  <si>
    <t>AURICH ROJAS VICTOR ALBERTO</t>
  </si>
  <si>
    <t xml:space="preserve">krissvic_7@hotmail.com </t>
  </si>
  <si>
    <t xml:space="preserve">CAPATAZ ELECTRICISTA </t>
  </si>
  <si>
    <t>PRODUCCION-INTERVENCION EISSA</t>
  </si>
  <si>
    <t>MZ 42 LT 11 CENT PTAPO CENTRO</t>
  </si>
  <si>
    <t>PATAPO</t>
  </si>
  <si>
    <t>CHICLAYO</t>
  </si>
  <si>
    <t>LAMBAYEQUE</t>
  </si>
  <si>
    <t>71706552</t>
  </si>
  <si>
    <t>BARRETO PUMACHARA HONORIO DAVID</t>
  </si>
  <si>
    <t>cosmo_07_97@outlook.es</t>
  </si>
  <si>
    <t>OPERADOR DE RETROEXCAVADORA</t>
  </si>
  <si>
    <t xml:space="preserve">PRODUCCION </t>
  </si>
  <si>
    <t>CALLE PRINCIPAL S/N</t>
  </si>
  <si>
    <t>HUANCARANI</t>
  </si>
  <si>
    <t>PAUCARTAMBO</t>
  </si>
  <si>
    <t>75337871</t>
  </si>
  <si>
    <t>BEDOYA ARANDA NICKOLL AILYN</t>
  </si>
  <si>
    <t>nickollbedoya.a@gmail.com</t>
  </si>
  <si>
    <t>JEFE DE ADMINISTRACION CONTRACTUAL</t>
  </si>
  <si>
    <t xml:space="preserve">ADMINISTRACION CONTRATUAL Y LEGAL </t>
  </si>
  <si>
    <t>CALLE ESPERANZA 239 DPTO. 401</t>
  </si>
  <si>
    <t>MIRAFLORES</t>
  </si>
  <si>
    <t>71414045</t>
  </si>
  <si>
    <t>BERNABLE PALOMINO, ALEXANDRA DEL CARMEN</t>
  </si>
  <si>
    <t>carmenbernanlepalomino@gmail.com</t>
  </si>
  <si>
    <t>ASISTENTE DE PRODUCCIÓN</t>
  </si>
  <si>
    <t xml:space="preserve">URB. BUENA VISTA MZ. A LT. 13 </t>
  </si>
  <si>
    <t>NO FISCALIZABLE</t>
  </si>
  <si>
    <t>72553778</t>
  </si>
  <si>
    <t>CABANILLAS VILCHEZ LUIS ALEJANDRO</t>
  </si>
  <si>
    <t xml:space="preserve">lcabanillasvilchez@gmail.com </t>
  </si>
  <si>
    <t>BIM-INTERVENCION FACONSE</t>
  </si>
  <si>
    <t>URB LOS CEDROS DE LA PRADERA MZ. F LT. 04</t>
  </si>
  <si>
    <t>77296315</t>
  </si>
  <si>
    <t>CABRERA CACERES MILLENI DARMELLY</t>
  </si>
  <si>
    <t>millenicabrera@gmail.com</t>
  </si>
  <si>
    <t>INGENIERO DE OFICINA TÉCNICA</t>
  </si>
  <si>
    <t>PJ PRIMAVERA N-152 BARRIO CONO ALUVIONICO OESTE</t>
  </si>
  <si>
    <t>HUARAZ</t>
  </si>
  <si>
    <t>ANCASH</t>
  </si>
  <si>
    <t>74657049</t>
  </si>
  <si>
    <t>CANALES RIOS CESAR AUGUSTO</t>
  </si>
  <si>
    <t xml:space="preserve">cesar.canrios@gmail.com </t>
  </si>
  <si>
    <t>ASISTENTE DE CALIDAD</t>
  </si>
  <si>
    <t>CALIDAD-INTERVENCION EISSA</t>
  </si>
  <si>
    <t>JR. AREQUIPA MZ. A LT. 2</t>
  </si>
  <si>
    <t>EL ALTO</t>
  </si>
  <si>
    <t>TALARA</t>
  </si>
  <si>
    <t>005892606</t>
  </si>
  <si>
    <t>CANIZA VIERCI JOAQUIN JOSE</t>
  </si>
  <si>
    <t>jcaniza@consorciosrt.com</t>
  </si>
  <si>
    <t>Gerente Tecnico</t>
  </si>
  <si>
    <t>CALLE LOS NARANJOS  346</t>
  </si>
  <si>
    <t>SAN ISIDRO</t>
  </si>
  <si>
    <t>01/07/2025</t>
  </si>
  <si>
    <t>60117582</t>
  </si>
  <si>
    <t>CAPARO OCHOA JOSE LUIS</t>
  </si>
  <si>
    <t xml:space="preserve">strong.jlco@gmail.com </t>
  </si>
  <si>
    <t>ASISTENTE DE CONTABILIDAD</t>
  </si>
  <si>
    <t xml:space="preserve">ADMINISTRACION </t>
  </si>
  <si>
    <t>PARQUE INDUSTRIAL MZ. E LT. 17</t>
  </si>
  <si>
    <t>45656788</t>
  </si>
  <si>
    <t>CARBAJAL ZUÑIGA EDWIN</t>
  </si>
  <si>
    <t xml:space="preserve">ednig11@gmail.com </t>
  </si>
  <si>
    <t>TECNICO ELECTRICISTA</t>
  </si>
  <si>
    <t>P.JOVEN LA ESTRELLA 2 ETAPA M-6</t>
  </si>
  <si>
    <t>SANTIAGO</t>
  </si>
  <si>
    <t>72217746</t>
  </si>
  <si>
    <t>CASANOVA VISE FRANCO ENRIQUE</t>
  </si>
  <si>
    <t>franco.casanovav@gmail.com</t>
  </si>
  <si>
    <t>JEFE DE ADMINISTRACION DE SUBCONTRATOS</t>
  </si>
  <si>
    <t>JR. SAN JACINTO 155 URB CENTRO COMERCIAL DE MONTERRICO</t>
  </si>
  <si>
    <t>SANTIAGO DE SURCO</t>
  </si>
  <si>
    <t>70024630</t>
  </si>
  <si>
    <t>CASTAÑEDA LOPEZ, JOHN ALDAIR</t>
  </si>
  <si>
    <t>ing.castanedalopez@gmail.com</t>
  </si>
  <si>
    <t>SUPERVISOR SSOMA</t>
  </si>
  <si>
    <t>SSOMA</t>
  </si>
  <si>
    <t>AV. TUPAC AMARU S/N C.P.M PAMPA GRANDE</t>
  </si>
  <si>
    <t>CHONGOYAPE</t>
  </si>
  <si>
    <t>005835751</t>
  </si>
  <si>
    <t>CASTILLO AQUINO ANA LAURA</t>
  </si>
  <si>
    <t>anitacas321@gmail.com</t>
  </si>
  <si>
    <t xml:space="preserve">INGENIERO RESPONSABLE DE VALORIZACIONES </t>
  </si>
  <si>
    <t>COSTOS Y PRESUPUESTOS</t>
  </si>
  <si>
    <t>AVENIDA JAVIER PRADO OESTE 1818</t>
  </si>
  <si>
    <t>01/12/2024</t>
  </si>
  <si>
    <t>48191321</t>
  </si>
  <si>
    <t>CASTILLO LEQUERNAQUE YOJANI ANTONIA</t>
  </si>
  <si>
    <t xml:space="preserve">antoniacastillo93@hotmail.com </t>
  </si>
  <si>
    <t>ASISTENTE DE RECURSOS HUMANOS</t>
  </si>
  <si>
    <t>GESTION HUMANA</t>
  </si>
  <si>
    <t>MARISCAL CASTILLA S/N</t>
  </si>
  <si>
    <t>VICHAYAL</t>
  </si>
  <si>
    <t>PAITA</t>
  </si>
  <si>
    <t>73111816</t>
  </si>
  <si>
    <t>CASTILLO PISCOYA GUSTAVO EDUARDO</t>
  </si>
  <si>
    <t>gustavo080398@gmail.com</t>
  </si>
  <si>
    <t>ADMINISTRADOR DE SUBCONTRATOS</t>
  </si>
  <si>
    <t>CALLE TACNA 231</t>
  </si>
  <si>
    <t>10105707</t>
  </si>
  <si>
    <t>CASTRO LLANOS CARLOS RAUL</t>
  </si>
  <si>
    <t>carlos.castro@crcll.com.pe</t>
  </si>
  <si>
    <t>DIRECTOR DE PROYECTO</t>
  </si>
  <si>
    <t>SEPARADORA INDUSTRIAL 3110 DPTO. 406</t>
  </si>
  <si>
    <t>LA MOLINA</t>
  </si>
  <si>
    <t>70786569</t>
  </si>
  <si>
    <t>CAYAHUALLPA QUISPE CESAR ANDRES</t>
  </si>
  <si>
    <t xml:space="preserve">cesar_andres1807@hotmail.com </t>
  </si>
  <si>
    <t>URB.SAN AGUSTIN MZ.U LT.6</t>
  </si>
  <si>
    <t>SAN VICENTE DE CAÑETE</t>
  </si>
  <si>
    <t>CAÑETE</t>
  </si>
  <si>
    <t>75196505</t>
  </si>
  <si>
    <t>CCAPA ESPINOZA YOHELMIR</t>
  </si>
  <si>
    <t xml:space="preserve">yohelmirccapaespinoza@gmail.com </t>
  </si>
  <si>
    <t>ASISTENTE DE TI</t>
  </si>
  <si>
    <t>TI</t>
  </si>
  <si>
    <t>ASOC. PRO VIV. ALTO CUSCO MZ. F LT. 2</t>
  </si>
  <si>
    <t>73202371</t>
  </si>
  <si>
    <t>CENTURION LINARES JAIR ALEXANDER</t>
  </si>
  <si>
    <t xml:space="preserve">centurionjair23@gmail.com </t>
  </si>
  <si>
    <t>INGENIERO DE VALORIZACION Y FACTURACION</t>
  </si>
  <si>
    <t>CALLE 4 MZ.C1 LT.27 URB.LOS JARDINES DE VENTANILLA 1RA.ETAPA</t>
  </si>
  <si>
    <t>VENTANI</t>
  </si>
  <si>
    <t>CALLAO</t>
  </si>
  <si>
    <t>PROV. CONST. DEL CALLAO</t>
  </si>
  <si>
    <t>77127124</t>
  </si>
  <si>
    <t>CHAPARRO CHACMANI KATHIUSCA ABIGAID</t>
  </si>
  <si>
    <t>abigaid.1221@gmail.com</t>
  </si>
  <si>
    <t>BELENPAMPA G-9</t>
  </si>
  <si>
    <t>75581956</t>
  </si>
  <si>
    <t>CHILCON QUISPE LIZBETH</t>
  </si>
  <si>
    <t>lizbethchilcon@gmail.com</t>
  </si>
  <si>
    <t>JR. B. DUBLE S/N</t>
  </si>
  <si>
    <t>CUTERVO</t>
  </si>
  <si>
    <t>CAJAMARCA</t>
  </si>
  <si>
    <t>23981390</t>
  </si>
  <si>
    <t>CONDORHUACHO CORNEJO MARGOT</t>
  </si>
  <si>
    <t>margot.4540@gmail.com</t>
  </si>
  <si>
    <t>ASOC. PRO.VIV. CAMINO REAL MZ. E LT. 1</t>
  </si>
  <si>
    <t>40308469</t>
  </si>
  <si>
    <t>CORAHUA CHALCO KATY</t>
  </si>
  <si>
    <t>katty_c_ch@hotmail.com</t>
  </si>
  <si>
    <t>ASISTENTE DE TESORERIA</t>
  </si>
  <si>
    <t>FINANZAS</t>
  </si>
  <si>
    <t>ASOC. LOS INCAS MZ. F LT. 5</t>
  </si>
  <si>
    <t>47110375</t>
  </si>
  <si>
    <t>CRUZADO LOLOY ANCELMO</t>
  </si>
  <si>
    <t xml:space="preserve">acloloy2020@gmail.com </t>
  </si>
  <si>
    <t>CAPATAZ ALBAÑIL</t>
  </si>
  <si>
    <t>CALLE VICTOR ANDRES BELAUNDE 115 CENTRO MONSEFU</t>
  </si>
  <si>
    <t>MONSEFU</t>
  </si>
  <si>
    <t>43801267</t>
  </si>
  <si>
    <t>CRUZADO LOLOY HUGO FELIX</t>
  </si>
  <si>
    <t>hugocruzadololoy@gmail.com</t>
  </si>
  <si>
    <t>ASOC. PROVIV. VIRGEN DE LA PUERTA MZ. B LT. 15</t>
  </si>
  <si>
    <t>CARABAYLLO</t>
  </si>
  <si>
    <t>70887797</t>
  </si>
  <si>
    <t>CUELLAR OVALLE BURGOS ANTERO</t>
  </si>
  <si>
    <t xml:space="preserve">144952@unsaac.edu.pe </t>
  </si>
  <si>
    <t>URB. LOS JARDINES B-15</t>
  </si>
  <si>
    <t>007453650</t>
  </si>
  <si>
    <t>CUELLAR TERAN VANESSA</t>
  </si>
  <si>
    <t>vanessa.cuellar@hotmail.com</t>
  </si>
  <si>
    <t xml:space="preserve">Responsable de Subcontratos </t>
  </si>
  <si>
    <t>CALLE MANUEL UGARTE Y MOSC 991</t>
  </si>
  <si>
    <t>08851995</t>
  </si>
  <si>
    <t>CUYA CHAVEZ LUIS ENRIQUE</t>
  </si>
  <si>
    <t>lucuya@hotmail.com</t>
  </si>
  <si>
    <t>PROCURA EQUIPAMIENTO MEDICO</t>
  </si>
  <si>
    <t>EQUIPAMIENTO</t>
  </si>
  <si>
    <t>AV.TOMAS GUZMAN 821</t>
  </si>
  <si>
    <t>SAN JUAN DE MIRAFLORES</t>
  </si>
  <si>
    <t>72268347</t>
  </si>
  <si>
    <t>DIAZ QUISPE, ELIZABETH DIANA</t>
  </si>
  <si>
    <t>diazquispeelizabethdiana@gmail.com</t>
  </si>
  <si>
    <t>TRABAJADORA SOCIAL</t>
  </si>
  <si>
    <t xml:space="preserve">ZONA B CASIMIRO CUADROS I MZ B LT 13 </t>
  </si>
  <si>
    <t xml:space="preserve">CAYMA </t>
  </si>
  <si>
    <t xml:space="preserve">AREQUIPA </t>
  </si>
  <si>
    <t>AREQUIPA</t>
  </si>
  <si>
    <t>75810956</t>
  </si>
  <si>
    <t>ECHE ZAVALETA DANY MIGUEL</t>
  </si>
  <si>
    <t xml:space="preserve">danyechezava@gmail.com </t>
  </si>
  <si>
    <t>CALLE SUCRE 404</t>
  </si>
  <si>
    <t>SECHURA</t>
  </si>
  <si>
    <t>46686215</t>
  </si>
  <si>
    <t>ENDARA CONDORI JESUS AFDIEL</t>
  </si>
  <si>
    <t>jesusemdara90@gmail.com</t>
  </si>
  <si>
    <t>GERENTE DE CALIDAD</t>
  </si>
  <si>
    <t>CALIDAD</t>
  </si>
  <si>
    <t>JR. OTAWA A8-5 URB. MAGISTERIAL AMAUTA</t>
  </si>
  <si>
    <t>JULIACA</t>
  </si>
  <si>
    <t>SAN ROMAN</t>
  </si>
  <si>
    <t>PUNO</t>
  </si>
  <si>
    <t>45676771</t>
  </si>
  <si>
    <t>ESCALANTE CARTAGENA ALDO ERIC</t>
  </si>
  <si>
    <t xml:space="preserve">ae.escalante88@gmail.com </t>
  </si>
  <si>
    <t>INGENIERO ELECTRICISTA</t>
  </si>
  <si>
    <t>JR. ACOMAYO B-6 URB PROGRESO</t>
  </si>
  <si>
    <t>41598491</t>
  </si>
  <si>
    <t>ESPEJO MONTESTRUQUE CARLOS OMAR</t>
  </si>
  <si>
    <t xml:space="preserve">carlosomar_espejo@hotmail.com </t>
  </si>
  <si>
    <t>ESPECIALISTA DE COMUNICACIONES</t>
  </si>
  <si>
    <t>LAS DELICIAS 140 URB LAS DELICIAS</t>
  </si>
  <si>
    <t>74144528</t>
  </si>
  <si>
    <t>ESPEJO VALDEZ YEYSON ANTONY</t>
  </si>
  <si>
    <t>yeysonev@gmail.com</t>
  </si>
  <si>
    <t>JEFE DE PLANEAMIENTO</t>
  </si>
  <si>
    <t>PLANEAMIENTO Y PROGRAMACION</t>
  </si>
  <si>
    <t>JR. MARIANO MELGAR 107 INT. 201 SECTOR LA MARQUEZA</t>
  </si>
  <si>
    <t>TRUJILLO</t>
  </si>
  <si>
    <t>LA LIBERTAD</t>
  </si>
  <si>
    <t>72257483</t>
  </si>
  <si>
    <t>ESPINOZA MACHADO CARLOS DANIEL</t>
  </si>
  <si>
    <t>carlos.cdem01@gmail.com</t>
  </si>
  <si>
    <t>AV. ROSA DE AMERICA 150-B ASOC. ROSA DE AMERICA</t>
  </si>
  <si>
    <t>COMAS</t>
  </si>
  <si>
    <t>76801259</t>
  </si>
  <si>
    <t>ESTRADA MOGOLLON GERALD PEDRO</t>
  </si>
  <si>
    <t xml:space="preserve">gerald.estradam@gmail.com </t>
  </si>
  <si>
    <t>COORDINADOR BIM</t>
  </si>
  <si>
    <t>CALLE CUZCO 402</t>
  </si>
  <si>
    <t>43495610</t>
  </si>
  <si>
    <t>FERRER ASTOCONDOR JORGE JESUS</t>
  </si>
  <si>
    <t>jorgejfa27@gmail.com</t>
  </si>
  <si>
    <t xml:space="preserve">COORDINADOR DE SUBCONTRATOS </t>
  </si>
  <si>
    <t>CALLE 3 MZ E LT 2 ASOC. PROP. URB. VILLA UNIVERSITARIA</t>
  </si>
  <si>
    <t>SAN MARTIN DE PORRES</t>
  </si>
  <si>
    <t>47964954</t>
  </si>
  <si>
    <t>FLORES HUAMAN JUAN CARLOS</t>
  </si>
  <si>
    <t>juancarlosim@outlook.es</t>
  </si>
  <si>
    <t>INGENIERO DE COSTOS Y PRESUPUESTOS</t>
  </si>
  <si>
    <t>CALLE FITZCARRAL 338 PJ. DIEGO FERRE</t>
  </si>
  <si>
    <t>74634862</t>
  </si>
  <si>
    <t>FUENTES ALVAREZ, AZUCENA</t>
  </si>
  <si>
    <t>azucenafuentes.a@gmail.com</t>
  </si>
  <si>
    <t>ASISTENTE DE SEGURIDAD</t>
  </si>
  <si>
    <t>ASOC. PRO VIV. PICOL ORCCOMPUGIO MZ. L LT. 4</t>
  </si>
  <si>
    <t>SAN JERONIMO</t>
  </si>
  <si>
    <t>76306720</t>
  </si>
  <si>
    <t>FUENTES ENRIQUEZ GIANELLA JEANETTE</t>
  </si>
  <si>
    <t xml:space="preserve">gianella.fuentes147@gmail.com </t>
  </si>
  <si>
    <t xml:space="preserve">COORDINADORA DE COMISIONAMIENTO EN EQUIPAMIENTO MEDICO </t>
  </si>
  <si>
    <t>AMAZONAS 1005</t>
  </si>
  <si>
    <t>ALTO SELVA ALEGRE</t>
  </si>
  <si>
    <t>71334912</t>
  </si>
  <si>
    <t>GAMARRA ARIAS EBERT</t>
  </si>
  <si>
    <t xml:space="preserve">ebertsanetti16@gmail.com </t>
  </si>
  <si>
    <t>ASISTENTE DE TOPOGRAFÍA</t>
  </si>
  <si>
    <t>APV. LOS ANDES B-1</t>
  </si>
  <si>
    <t>SAN SEBASTIAN</t>
  </si>
  <si>
    <t>45275146</t>
  </si>
  <si>
    <t>GARCIA ALVAREZ, GABRIELA</t>
  </si>
  <si>
    <t>gabrielagarciaalvarez4@gmail.com</t>
  </si>
  <si>
    <t>AV. TULLUMAYO 2025</t>
  </si>
  <si>
    <t>76675994</t>
  </si>
  <si>
    <t>GARCIA MOGOLLON CLAUDIA CAROLINA</t>
  </si>
  <si>
    <t>gar21ccm@gmail.com</t>
  </si>
  <si>
    <t>CALLE LA BREA 314 ASENT.H. SANTA TERESITA</t>
  </si>
  <si>
    <t>42051852</t>
  </si>
  <si>
    <t xml:space="preserve">GOMEZ PINEDA KRISS EILEEN </t>
  </si>
  <si>
    <t xml:space="preserve">krissgp5@gmail.com </t>
  </si>
  <si>
    <t>ASISTENTE ADMINISTRATIVO</t>
  </si>
  <si>
    <t xml:space="preserve">URB OVALO DE PACHACUTEQ D01 </t>
  </si>
  <si>
    <t>-</t>
  </si>
  <si>
    <t>73962431</t>
  </si>
  <si>
    <t>GONZALES DE LA CRUZ AYRTON JUNNIOR</t>
  </si>
  <si>
    <t>ayrtonggonzales@gmail.com</t>
  </si>
  <si>
    <t>JR. PEDRO PAULET 142 URB INGENIERﾍA</t>
  </si>
  <si>
    <t>70495252</t>
  </si>
  <si>
    <t>GONZALES LIMBER FAVIO JUNIOR JESUS</t>
  </si>
  <si>
    <t xml:space="preserve">faviogl22@gmail.com </t>
  </si>
  <si>
    <t>INGENIERO ASISTENTE DE COMISIONAMIENTO</t>
  </si>
  <si>
    <t>JR. 12 DE OCTUBRE 659 URB EL CARMEN</t>
  </si>
  <si>
    <t>43382768</t>
  </si>
  <si>
    <t>GUERRERO ALBERCA JACSER JESUS</t>
  </si>
  <si>
    <t>jacserguerrero@gmail.com</t>
  </si>
  <si>
    <t>JEFE DE COSTOS Y PRESUPUESTOS</t>
  </si>
  <si>
    <t>URB SANTA ISABEL CALLE LOS CEIBOS 136</t>
  </si>
  <si>
    <t>005419022</t>
  </si>
  <si>
    <t>GUTIERREZ FERRER ERNESTO MARTIN</t>
  </si>
  <si>
    <t>megutierrez@consorciosrt.com</t>
  </si>
  <si>
    <t>CALLE JUAN ARIAS ARAGUEZ 250</t>
  </si>
  <si>
    <t>41818325</t>
  </si>
  <si>
    <t>GUTIERREZ NAJARRO JUAN CARLOS</t>
  </si>
  <si>
    <t>juancarlosgutierreznajarro17@gmail.com</t>
  </si>
  <si>
    <t>CAPATAZ SANITARIO</t>
  </si>
  <si>
    <t>ASENT.H. HUAYCAN ZONA.D UCV.67 LT.189</t>
  </si>
  <si>
    <t>ATE</t>
  </si>
  <si>
    <t>70574711</t>
  </si>
  <si>
    <t>HAMANCCAY BAEZ ORLANDO</t>
  </si>
  <si>
    <t xml:space="preserve">orlandohamanccaybaez001@gmail.com </t>
  </si>
  <si>
    <t>AUXILIAR DE TOPOGRAFIA</t>
  </si>
  <si>
    <t>CALLE BOLIVAR S/N</t>
  </si>
  <si>
    <t>SANGARARA</t>
  </si>
  <si>
    <t>ACOMAYO</t>
  </si>
  <si>
    <t>001993770</t>
  </si>
  <si>
    <t>HIDALGO OROZCO CARLOS ARTURO</t>
  </si>
  <si>
    <t>carlos_hidalgo71@yahoo.com</t>
  </si>
  <si>
    <t>GERENTE DE EQUIPAMIENTO MEDICO</t>
  </si>
  <si>
    <t>AVENIDA 02 DE MAYO 1385</t>
  </si>
  <si>
    <t>72166636</t>
  </si>
  <si>
    <t>HORNA FLORES ALFRED JUNNIOR</t>
  </si>
  <si>
    <t xml:space="preserve">alfhf31997@gmail.com </t>
  </si>
  <si>
    <t>CALLE HUSARES DE JUNIN 1301 C.P.M.URRUNAGA</t>
  </si>
  <si>
    <t>JOSE LEONARDO ORTI</t>
  </si>
  <si>
    <t>47605746</t>
  </si>
  <si>
    <t>HUACAC OSORIO HENRRY</t>
  </si>
  <si>
    <t xml:space="preserve">henryhuacacosorio@gmail.com </t>
  </si>
  <si>
    <t>CUSIPATA S/N</t>
  </si>
  <si>
    <t>CALCA</t>
  </si>
  <si>
    <t>41670147</t>
  </si>
  <si>
    <t>HUAMAN CACERES YOVANA</t>
  </si>
  <si>
    <t>hcyovana@hotmail.com</t>
  </si>
  <si>
    <t>RESPONSABLE FINANCIERO</t>
  </si>
  <si>
    <t>URB.STA.ROSA T-5</t>
  </si>
  <si>
    <t>42319767</t>
  </si>
  <si>
    <t>HUAMAN CORDOVA ARMANDO ALAIN</t>
  </si>
  <si>
    <t xml:space="preserve">armandoalainhc@gmail.com </t>
  </si>
  <si>
    <t>CADISTA</t>
  </si>
  <si>
    <t>A.P.V SAN BLAS E-9</t>
  </si>
  <si>
    <t>23925262</t>
  </si>
  <si>
    <t xml:space="preserve">HUAMAN RAYME JOSE ALFREDO </t>
  </si>
  <si>
    <t xml:space="preserve">joshue_rayme888@hotmail.com </t>
  </si>
  <si>
    <t xml:space="preserve">CAPATAZ  ELECTRICISTA </t>
  </si>
  <si>
    <t xml:space="preserve">URB. TTIO PSJ CONSTITUCION B-2-13 </t>
  </si>
  <si>
    <t>72020477</t>
  </si>
  <si>
    <t xml:space="preserve">HUAMANI CHAÑI ROSA DEL RIO </t>
  </si>
  <si>
    <t>rosse_ch15@hotmail.com</t>
  </si>
  <si>
    <t>CALLE SAN PEDRO SN</t>
  </si>
  <si>
    <t>ESPINAR</t>
  </si>
  <si>
    <t>73823718</t>
  </si>
  <si>
    <t xml:space="preserve">HUARACHA GARCIA PIERO ANDRES </t>
  </si>
  <si>
    <t xml:space="preserve">pieroandres.h@gmail.com </t>
  </si>
  <si>
    <t xml:space="preserve">SUPERVISIOR DE INSTALACIONES MECANICAS </t>
  </si>
  <si>
    <t xml:space="preserve">JR. MAXIMO GORBITZ 851 SAN JUAN </t>
  </si>
  <si>
    <t>45796382</t>
  </si>
  <si>
    <t>HUAYTAN PATRICIO ENDERSON FELIX</t>
  </si>
  <si>
    <t>enderson.huaytan0112@gmail.com</t>
  </si>
  <si>
    <t>INGENIERO DE INSTALACIONES ELECTRICAS</t>
  </si>
  <si>
    <t>ASENT.H. ESTRELLA SIMON BOLIVAR MZ. B LT. 24</t>
  </si>
  <si>
    <t>PUENTE PIEDRA</t>
  </si>
  <si>
    <t>76278558</t>
  </si>
  <si>
    <t>HUISA FERNANDEZ TOLY KUPER</t>
  </si>
  <si>
    <t xml:space="preserve">kuper.huisa.fernandez@gmail.com </t>
  </si>
  <si>
    <t>AV. TOMAS TUYRU TUPAC 15</t>
  </si>
  <si>
    <t xml:space="preserve">CESE </t>
  </si>
  <si>
    <t>72129488</t>
  </si>
  <si>
    <t>JIMENEZ HUANCAS SEGUNDO ALFONSO</t>
  </si>
  <si>
    <t xml:space="preserve">segun1890@gmail.com </t>
  </si>
  <si>
    <t>URB EL BOSQUE MZ. Ñ LT. 04</t>
  </si>
  <si>
    <t>70614124</t>
  </si>
  <si>
    <t>LA ROSA SANCHEZ ARELLAN MARCO GIOVANNI</t>
  </si>
  <si>
    <t>marco.lrsa@gmail.com</t>
  </si>
  <si>
    <t>COORDINADOR GENERAL BIM E INGENIERO DE OFICINA TECNICA</t>
  </si>
  <si>
    <t>AV. VIRREY CONDE DE LEMOS 668 BLOCK 2 EDIF. 508 COND. RESIDENCIAL VILLA BONITA 1 ETAPA</t>
  </si>
  <si>
    <t>42390562</t>
  </si>
  <si>
    <t>LARA BRAVO ROBERTO JORGE</t>
  </si>
  <si>
    <t>roberto.lara@outlook.com</t>
  </si>
  <si>
    <t>GERENTE CONTRACTUAL Y LEGAL</t>
  </si>
  <si>
    <t>AV. CESAR VALLEJO 350 DPTO. 1502 URB EL FUNDO LOBATON</t>
  </si>
  <si>
    <t>74784658</t>
  </si>
  <si>
    <t>LAURENCIO CASTRO JHOSEP DARIO</t>
  </si>
  <si>
    <t xml:space="preserve">infinitejhosep,12@gmail.com </t>
  </si>
  <si>
    <t>MZ. Z LT. 5</t>
  </si>
  <si>
    <t>73147728</t>
  </si>
  <si>
    <t>LIZA LIZA MARIA DEL PILAR</t>
  </si>
  <si>
    <t>mpliza20@gmail.com</t>
  </si>
  <si>
    <t>ANALISTA DE COSTOS</t>
  </si>
  <si>
    <t>CALLE LOS INCAS 115 P.JOVEN SAN FRANCISCO</t>
  </si>
  <si>
    <t>70275978</t>
  </si>
  <si>
    <t>LLAPAPASCA CRUZ IRMA MARIA GRACIA</t>
  </si>
  <si>
    <t xml:space="preserve">irma.llapapasca@gmail.com </t>
  </si>
  <si>
    <t>JR.SAN CRISTOBAL 295 URB.SANTA ISABEL</t>
  </si>
  <si>
    <t>74471124</t>
  </si>
  <si>
    <t>LOAYZA LAYME MARIVY</t>
  </si>
  <si>
    <t xml:space="preserve">loayzalaymemarivy@gmail.com </t>
  </si>
  <si>
    <t>JR. ANTA URB PROGRESO MZ. B LT. 16</t>
  </si>
  <si>
    <t>70919188</t>
  </si>
  <si>
    <t xml:space="preserve">LOPEZ TORRE EDWIN FERMIN </t>
  </si>
  <si>
    <t xml:space="preserve">eflopezt@gmail.com </t>
  </si>
  <si>
    <t xml:space="preserve">ANALISTA DE NOMINA </t>
  </si>
  <si>
    <t xml:space="preserve">JR REJULGAR 518 </t>
  </si>
  <si>
    <t>71075941</t>
  </si>
  <si>
    <t>LOZANO FLORES DERIQ KEVIN</t>
  </si>
  <si>
    <t>lozanoderiq@gmail.com</t>
  </si>
  <si>
    <t>BIM-INTERVENCION EISSA</t>
  </si>
  <si>
    <t>COROTO S/N</t>
  </si>
  <si>
    <t>74076597</t>
  </si>
  <si>
    <t>LUJAN VILLANQUE JUAN GUILLERMO</t>
  </si>
  <si>
    <t xml:space="preserve">juanguille171095@gmail.com </t>
  </si>
  <si>
    <t>ESPECIALISTA AMBIENTAL</t>
  </si>
  <si>
    <t>CALLE 115 STA LUZMILA 2 ETAPA MZ. N3 LT. 35</t>
  </si>
  <si>
    <t>43156036</t>
  </si>
  <si>
    <t>LUNA MENDIETA JHON CARLOS</t>
  </si>
  <si>
    <t>jhonlunamendieta@gmail.com</t>
  </si>
  <si>
    <t>CAPATAZ DE DRYWALL</t>
  </si>
  <si>
    <t>CALLE BALCEROS MZ.28 LT.14 CESAR VALLEJO</t>
  </si>
  <si>
    <t>VILLA MARIA DEL TRIUNFO</t>
  </si>
  <si>
    <t>73445337</t>
  </si>
  <si>
    <t>MACHADO RIOS CLAUDIA FABIOLA</t>
  </si>
  <si>
    <t xml:space="preserve">claudia.machado.rios@gmail.com </t>
  </si>
  <si>
    <t>MZ. 226 02-01 PQ. IND. ZONA INDUSTRIAL</t>
  </si>
  <si>
    <t>VEINTISEIS DE OCTUBRE</t>
  </si>
  <si>
    <t>70393462</t>
  </si>
  <si>
    <t>MANRIQUE FERNANDEZ BACA ANDREA MARIA</t>
  </si>
  <si>
    <t xml:space="preserve">manriquefernandezbacaandrea@gmail.com </t>
  </si>
  <si>
    <t>CALLE JORGE OCHOA 241</t>
  </si>
  <si>
    <t>70415206</t>
  </si>
  <si>
    <t>MARQUEZ LLAMOCCA JOSE MANUEL</t>
  </si>
  <si>
    <t xml:space="preserve">jmmarquez296@gmail.com </t>
  </si>
  <si>
    <t>VILLA PARAISO F-1</t>
  </si>
  <si>
    <t>10515850</t>
  </si>
  <si>
    <t>MENDEZ GONZALES AURELIO</t>
  </si>
  <si>
    <t>aureliomendez12@gmail.com</t>
  </si>
  <si>
    <t>CAPATAZ DE ACABADOS</t>
  </si>
  <si>
    <t>PRODUCCION-INTERVENCION LAYO</t>
  </si>
  <si>
    <t>AV.SAN MARTIN MZ.C LT.3 ASENT.H.MIGUEL GRAU</t>
  </si>
  <si>
    <t>21811280</t>
  </si>
  <si>
    <t>MENDOZA GARCIA JULIO CESAR</t>
  </si>
  <si>
    <t xml:space="preserve">jumegarel@yahoo.es </t>
  </si>
  <si>
    <t>RESIDENTE DE OBRA</t>
  </si>
  <si>
    <t>AV. DOMINGO ORUE 456 BLOCK 1 DPTO. 601</t>
  </si>
  <si>
    <t>SURQUILLO</t>
  </si>
  <si>
    <t>45507761</t>
  </si>
  <si>
    <t xml:space="preserve">MENDOZA LORO LUIS ROLANDO </t>
  </si>
  <si>
    <t xml:space="preserve">rollyml20@gmail.com </t>
  </si>
  <si>
    <t xml:space="preserve">CONTADOR </t>
  </si>
  <si>
    <t xml:space="preserve">CONTABILIDAD </t>
  </si>
  <si>
    <t>CALLE COMERCIO MZ 12 LT 07</t>
  </si>
  <si>
    <t xml:space="preserve">BERNAL </t>
  </si>
  <si>
    <t>001526140</t>
  </si>
  <si>
    <t>MESTRE SALORT VICENTE</t>
  </si>
  <si>
    <t>vmestre@consorciosrt.com</t>
  </si>
  <si>
    <t>Gerente General</t>
  </si>
  <si>
    <t>GERENCIA</t>
  </si>
  <si>
    <t xml:space="preserve">CALLE ALBERTO DEL CAMPO 411 </t>
  </si>
  <si>
    <t>MAGDALENA DEL MAR</t>
  </si>
  <si>
    <t>21/12/2023</t>
  </si>
  <si>
    <t>41496841</t>
  </si>
  <si>
    <t>MEZA MORI KATTY</t>
  </si>
  <si>
    <t xml:space="preserve">katty19@gmail.com </t>
  </si>
  <si>
    <t>JEFE DE RECURSOS HUMANOS</t>
  </si>
  <si>
    <t>AV. AREQUIPA 1480 DPTO. 709 URB.RES. SANTA BEATRIZ CERCADO DE LIMA</t>
  </si>
  <si>
    <t>73644767</t>
  </si>
  <si>
    <t>MORALES MONRROY, GABRIEL FRANCISCO</t>
  </si>
  <si>
    <t>gmoralesm@pucp.edu.pe</t>
  </si>
  <si>
    <t xml:space="preserve">INGENIERO DE ESTRUCTURAS </t>
  </si>
  <si>
    <t>CALLE MARIANO PACHECO 922 URB SANTA CATALINA</t>
  </si>
  <si>
    <t>LA VICTORIA</t>
  </si>
  <si>
    <t>48091922</t>
  </si>
  <si>
    <t>MOSCOSO RIOS ALAIN JOSE LUIS</t>
  </si>
  <si>
    <t xml:space="preserve">alainmoscosorios@gmail.com </t>
  </si>
  <si>
    <t>TOPOGRAFO</t>
  </si>
  <si>
    <t>CALLE ESPINAR 911</t>
  </si>
  <si>
    <t>MOTTA COAQUIRA, JHONATAN BENIGNO</t>
  </si>
  <si>
    <t xml:space="preserve">jhonatanbmotta@gmail.com </t>
  </si>
  <si>
    <t xml:space="preserve">P.J ALTO DE LA LIBERTAD MZA. 16 LOTE. 3B-1 JR INDEPENDENCIA </t>
  </si>
  <si>
    <t>CERRO COLORADO</t>
  </si>
  <si>
    <t>73990329</t>
  </si>
  <si>
    <t>NINA QUISPE RONNY MICHAEL</t>
  </si>
  <si>
    <t xml:space="preserve">ronnymichael1820@gmail.com </t>
  </si>
  <si>
    <t>CALIDAD-INTERVENCION SEAL TELECOM</t>
  </si>
  <si>
    <t>JR. JULI 115</t>
  </si>
  <si>
    <t>47330689</t>
  </si>
  <si>
    <t>NOA CAHUANA PAUL YURI</t>
  </si>
  <si>
    <t>pync.im@gmail.com</t>
  </si>
  <si>
    <t>AV SAN FELIPE 729</t>
  </si>
  <si>
    <t>SICUANI</t>
  </si>
  <si>
    <t>CANCHIS</t>
  </si>
  <si>
    <t>44616975</t>
  </si>
  <si>
    <t>NORIEGA VILLALOBOS LUIS CARLOS</t>
  </si>
  <si>
    <t>lcnoriegav@gmail.com</t>
  </si>
  <si>
    <t>TECNICO INFORMATICO</t>
  </si>
  <si>
    <t>ASENT.H. ARAHUAY MZ. E LT. 20</t>
  </si>
  <si>
    <t>48056430</t>
  </si>
  <si>
    <t>OBREGON SOMOZA YONER CRISTIAN</t>
  </si>
  <si>
    <t>yonercristian.obregon@gmail.com</t>
  </si>
  <si>
    <t>INGENIERO DE CALIDAD</t>
  </si>
  <si>
    <t>CALLE GRECIA MZ. Z LT. 27 AA.HH LOS OLIVOS</t>
  </si>
  <si>
    <t>47987309</t>
  </si>
  <si>
    <t>OLIVA RAMOS JULIA TERESA</t>
  </si>
  <si>
    <t>ju.corporativo21@gmail.com</t>
  </si>
  <si>
    <t>SSOMA-INTERVENCION LOS INKAS</t>
  </si>
  <si>
    <t>URB SOL DE LAMBAYEQUE II MZ. E2 LT. 10</t>
  </si>
  <si>
    <t>73194963</t>
  </si>
  <si>
    <t>OLIVERA DE LA CRUZ FRANK ALEXIS</t>
  </si>
  <si>
    <t>frankoliveradelacruz@gmail.com</t>
  </si>
  <si>
    <t xml:space="preserve">ESPECIALISTA BIOMEDICO EN INSTALACIONES </t>
  </si>
  <si>
    <t>PJ. ALTO SAN MARTIN AV. PANAMA 301</t>
  </si>
  <si>
    <t>MARIANO MELGAR</t>
  </si>
  <si>
    <t>76834291</t>
  </si>
  <si>
    <t>ORTEGA ÑACO VEN EOLER</t>
  </si>
  <si>
    <t xml:space="preserve">orteganacoveneoler4@gmail.com </t>
  </si>
  <si>
    <t>COMUNID.NATIVA SAN ANTONIO</t>
  </si>
  <si>
    <t>PANGOA</t>
  </si>
  <si>
    <t>SATIPO</t>
  </si>
  <si>
    <t>JUNIN</t>
  </si>
  <si>
    <t>78286420</t>
  </si>
  <si>
    <t>OYARCE FLORES GLENDA LIZETH</t>
  </si>
  <si>
    <t>glendaoyarce@gmail.com</t>
  </si>
  <si>
    <t>AV. TOMAS VALLE 1530 BLOCK 2 DPTO. 503 COND. RESID TOMAS VALLE</t>
  </si>
  <si>
    <t>LOS OLIVOS</t>
  </si>
  <si>
    <t>72459185</t>
  </si>
  <si>
    <t>PAICO RIQUELME CINNDY ARELI</t>
  </si>
  <si>
    <t xml:space="preserve">cinndy.apr@gmail.com </t>
  </si>
  <si>
    <t>ARQUITECTA DE OFICINA TECNICA</t>
  </si>
  <si>
    <t>AV. RAFAEL ESCARDO 919 DPTO. 4 URB LAS LEYENDAS</t>
  </si>
  <si>
    <t>SAN MIGUEL</t>
  </si>
  <si>
    <t>32136077</t>
  </si>
  <si>
    <t>PALMA BARRERA ROBERT REMY</t>
  </si>
  <si>
    <t>robert.palma@pucp.edu.pe</t>
  </si>
  <si>
    <t>COMMISIONING MANAGER</t>
  </si>
  <si>
    <t>AV. 31 DE MAYO ASENT.H. SANTO DOMINGO MZ. F LT. 3</t>
  </si>
  <si>
    <t>HUARMEY</t>
  </si>
  <si>
    <t>76755635</t>
  </si>
  <si>
    <t>PARDO NUÑEZ PIO EDSON</t>
  </si>
  <si>
    <t xml:space="preserve">edsonpiop@gmail.com </t>
  </si>
  <si>
    <t>CALLE GRAU S/N</t>
  </si>
  <si>
    <t>PARURO</t>
  </si>
  <si>
    <t>47583164</t>
  </si>
  <si>
    <t>PARRILLA ESPINOZA MAX JOSEPH</t>
  </si>
  <si>
    <t xml:space="preserve">max.paes01@gmail.com </t>
  </si>
  <si>
    <t>ESPECIALISTA EN INSTALACIONES MECANICAS</t>
  </si>
  <si>
    <t>COMMISSIONING-INTERVENCION LOS INKAS</t>
  </si>
  <si>
    <t>CALLE 101 ASENT.H. LOS OLIVOS DE PRO MZ. Ñ-1 LT. 41</t>
  </si>
  <si>
    <t>44666461</t>
  </si>
  <si>
    <t>PASTOR MELENDEZ JOSE BENJAMIN</t>
  </si>
  <si>
    <t xml:space="preserve">benjaminpastor2017@gmail.com </t>
  </si>
  <si>
    <t>CAPATAZ DE PINTURA</t>
  </si>
  <si>
    <t>ASOC. MONTERRICO MZ. B LT. 35-B</t>
  </si>
  <si>
    <t>74716792</t>
  </si>
  <si>
    <t>PEREZ HERRERA CRISTIAN ALBERTO</t>
  </si>
  <si>
    <t xml:space="preserve">cristianalberto.ph99@gmail.com </t>
  </si>
  <si>
    <t>CALLE SAN FRANCISCO DE CAYRAN MZ. F1 LT. 22</t>
  </si>
  <si>
    <t>73014549</t>
  </si>
  <si>
    <t>PIÑA OCLOCHO ALBERT</t>
  </si>
  <si>
    <t xml:space="preserve">oclocho12@gmail.com </t>
  </si>
  <si>
    <t>INGENIERO DE INSTALACIONES SANITARIAS</t>
  </si>
  <si>
    <t>JR. CALLAO 186</t>
  </si>
  <si>
    <t>MOYOBAMBA</t>
  </si>
  <si>
    <t>SAN MARTIN</t>
  </si>
  <si>
    <t>72539322</t>
  </si>
  <si>
    <t>POCOHUANCA QUISPE ALEX JUNIOR</t>
  </si>
  <si>
    <t xml:space="preserve">ajpocohuanca@gmail.com </t>
  </si>
  <si>
    <t>JR. ANCASH URB SAN BORJA MZ. C LT. 20</t>
  </si>
  <si>
    <t>72573615</t>
  </si>
  <si>
    <t>PONCE DE LEON PADILLA MARIO ABRAHAM</t>
  </si>
  <si>
    <t>poncedeleonmario@hotmail.com</t>
  </si>
  <si>
    <t>AV. JOSE CARLOS MARIATEGUI 2291 ASOC. LAS ALONDRAS MZ. A LT. 13</t>
  </si>
  <si>
    <t>77059328</t>
  </si>
  <si>
    <t>PUMA ASENCIO PAUL TEO</t>
  </si>
  <si>
    <t>paul18.klp@gmail.com</t>
  </si>
  <si>
    <t>COM. CCAHUAYA BAJA</t>
  </si>
  <si>
    <t>PICHIGUA</t>
  </si>
  <si>
    <t>78006445</t>
  </si>
  <si>
    <t>PUMA PAREDES JUSTINO</t>
  </si>
  <si>
    <t>justinopuma01@gmail.com</t>
  </si>
  <si>
    <t>COMUNIDAD SAN ISIDRO CHICON</t>
  </si>
  <si>
    <t>URUBAMBA</t>
  </si>
  <si>
    <t>73932761</t>
  </si>
  <si>
    <t>PUYEN HUERTAS SARA ELIZABETH</t>
  </si>
  <si>
    <t>seph.2911@gmail.com</t>
  </si>
  <si>
    <t>CALLE LA LIBERTAD 109</t>
  </si>
  <si>
    <t>REQUE</t>
  </si>
  <si>
    <t>16790781</t>
  </si>
  <si>
    <t>QUIROZ ROMERO, CHESLAVO</t>
  </si>
  <si>
    <t>chesquiro12@hotmail.com</t>
  </si>
  <si>
    <t>SUPERVISOR DE SEGURIDAD PATRIMONIAL</t>
  </si>
  <si>
    <t>VILLA MILITAR ZARZUELA 605</t>
  </si>
  <si>
    <t>21261940</t>
  </si>
  <si>
    <t>QUISPE ALBINO EDGAR JORGE</t>
  </si>
  <si>
    <t>ejquispe@yahoo.com</t>
  </si>
  <si>
    <t>JEFE SSOMA</t>
  </si>
  <si>
    <t>PACHACUTEC 235</t>
  </si>
  <si>
    <t>EL TAMBO</t>
  </si>
  <si>
    <t>HUANCAYO</t>
  </si>
  <si>
    <t>46840428</t>
  </si>
  <si>
    <t>QUISPE CATALAN JULIO</t>
  </si>
  <si>
    <t xml:space="preserve">acuario18_07@hotmail.com </t>
  </si>
  <si>
    <t xml:space="preserve">ASISTENTE DE ALMACEN </t>
  </si>
  <si>
    <t>RAMON CASTILLA U.S.Z.</t>
  </si>
  <si>
    <t>45311345</t>
  </si>
  <si>
    <t>QUISPE CATALAN WILLIAMS</t>
  </si>
  <si>
    <t xml:space="preserve">willy_35@hotmail.com </t>
  </si>
  <si>
    <t>APLICADOR DE ACABADOS</t>
  </si>
  <si>
    <t>AH DON JOSE DE SAN MARTIN C-15</t>
  </si>
  <si>
    <t>48028346</t>
  </si>
  <si>
    <t>QUISPE CHOQUE ALEX MARIO</t>
  </si>
  <si>
    <t xml:space="preserve">lexisqch@hotmail.com </t>
  </si>
  <si>
    <t>TECNICO DE MANTENIMIENTO</t>
  </si>
  <si>
    <t>C.POBLADO OTUZCO</t>
  </si>
  <si>
    <t>LOS BAÑOS DEL INCA</t>
  </si>
  <si>
    <t>75314991</t>
  </si>
  <si>
    <t>QUISPE FUENTES ROGER</t>
  </si>
  <si>
    <t>rogerquispefuentes57@gmail.com</t>
  </si>
  <si>
    <t>COMUNID.CAMPESINA KUÑOTAMBO S/N</t>
  </si>
  <si>
    <t>RONDOCAN</t>
  </si>
  <si>
    <t>74539175</t>
  </si>
  <si>
    <t>QUISPE MESA ELISABETH FIORELA</t>
  </si>
  <si>
    <t>fiore23mesa@gmail.com</t>
  </si>
  <si>
    <t>COMUNID.CAMPESINA CALLIPATA</t>
  </si>
  <si>
    <t>24007726</t>
  </si>
  <si>
    <t>QUISPE QUISPE CARLOS</t>
  </si>
  <si>
    <t xml:space="preserve">carlosquispe080325@gmail.com </t>
  </si>
  <si>
    <t>COMUNID.CAMPESINA CCOLLANA CHAHUANCOSCO MZ. A LT. 2</t>
  </si>
  <si>
    <t>41248182</t>
  </si>
  <si>
    <t>QUISPE VERA MARIA ANGELICA</t>
  </si>
  <si>
    <t>yemenca@hotmail.com</t>
  </si>
  <si>
    <t>COORDINADORA DE CALIDAD</t>
  </si>
  <si>
    <t>URB TACNA MZ. J LT. 09</t>
  </si>
  <si>
    <t>POCOLLAY</t>
  </si>
  <si>
    <t>TACNA</t>
  </si>
  <si>
    <t>43738113</t>
  </si>
  <si>
    <t>QUISPE VILLALBA WILLIAM KENNE</t>
  </si>
  <si>
    <t xml:space="preserve">williamkenerquispevillalba@hotmail.com </t>
  </si>
  <si>
    <t>CAPATAZ DE ANDAMIOS</t>
  </si>
  <si>
    <t>ASOC. LAS FLORES SECTOR 5 MZ. I LT. 1</t>
  </si>
  <si>
    <t>70784205</t>
  </si>
  <si>
    <t>RAMIREZ SANTAMARIA, TEODORO ANSEL</t>
  </si>
  <si>
    <t>ramirez.94tars@gmail.com</t>
  </si>
  <si>
    <t>ANALISTA DE SUBCONTRATOS</t>
  </si>
  <si>
    <t xml:space="preserve">RINCONADA S/N </t>
  </si>
  <si>
    <t>QUILLO</t>
  </si>
  <si>
    <t>YUNGAY</t>
  </si>
  <si>
    <t>60019040</t>
  </si>
  <si>
    <t>RAMOS PASO MELQUIADES JOHAN</t>
  </si>
  <si>
    <t xml:space="preserve">johanramos20208@gmail.com </t>
  </si>
  <si>
    <t>OPERADOR DE MINICARGADOR</t>
  </si>
  <si>
    <t>COM. VENTANAYOC</t>
  </si>
  <si>
    <t>CCORCA</t>
  </si>
  <si>
    <t>46877005</t>
  </si>
  <si>
    <t>RIMACHI SACA YAMIR MISAEL</t>
  </si>
  <si>
    <t xml:space="preserve">misaelrimachi47@gmail.com </t>
  </si>
  <si>
    <t>JR. VENECIA B-10 SANTA ANA</t>
  </si>
  <si>
    <t>SANTA ANA</t>
  </si>
  <si>
    <t>24995251</t>
  </si>
  <si>
    <t>RIVERA LUQUE FREDY</t>
  </si>
  <si>
    <t xml:space="preserve">fredyriveraluque24995251@gmail.com </t>
  </si>
  <si>
    <t>ASISTENTE DE SEGURIDAD PATRIMONIAL</t>
  </si>
  <si>
    <t>YUPANCA PUCYURA</t>
  </si>
  <si>
    <t>VILCABAMBA</t>
  </si>
  <si>
    <t>71589955</t>
  </si>
  <si>
    <t>RODRIGUEZ RIMACHI JUAN EDUARDO</t>
  </si>
  <si>
    <t>edu_r_21@hotmail.com</t>
  </si>
  <si>
    <t>U.VECINAL MARISCAL GAMARRA MZ. A-11 LT. 415</t>
  </si>
  <si>
    <t>70830057</t>
  </si>
  <si>
    <t>RODRIGUEZ RODRIGUEZ MIGUEL ANGEL</t>
  </si>
  <si>
    <t xml:space="preserve">mangel.rodiqt.iquitos@gmail.com </t>
  </si>
  <si>
    <t xml:space="preserve">CALIDAD </t>
  </si>
  <si>
    <t>CALLE 8 DE DICIEMBRE 186 PAMPACHICA</t>
  </si>
  <si>
    <t>IQUITOS</t>
  </si>
  <si>
    <t>MAYNAS</t>
  </si>
  <si>
    <t>LORETO</t>
  </si>
  <si>
    <t>76807186</t>
  </si>
  <si>
    <t>RODRIGUEZ VIVANCO FRANK AMADEO</t>
  </si>
  <si>
    <t xml:space="preserve">frank.rodriguez.v7@gmail.com </t>
  </si>
  <si>
    <t>MORON CHICO MZ. D LT. 2</t>
  </si>
  <si>
    <t>CHACLACAYO</t>
  </si>
  <si>
    <t>76587790</t>
  </si>
  <si>
    <t>ROJAS LARA JUAN AUGUSTO</t>
  </si>
  <si>
    <t>juanrojaslara@gmail.com</t>
  </si>
  <si>
    <t xml:space="preserve"> ANALISTA DE SUBCONTRATOS</t>
  </si>
  <si>
    <t>AV. LIBERTAD 772</t>
  </si>
  <si>
    <t>10714475</t>
  </si>
  <si>
    <t>RUIZ HUAPAYA YVO OSMAN</t>
  </si>
  <si>
    <t xml:space="preserve">yvoruiz1@hotmail.com </t>
  </si>
  <si>
    <t>GERENTE TÉCNICO</t>
  </si>
  <si>
    <t>AV. LEGUIA Y MELENDEZ 1578 DPTO. 401 URB EL CARMEN</t>
  </si>
  <si>
    <t>PUEBLO LIBRE</t>
  </si>
  <si>
    <t>72782212</t>
  </si>
  <si>
    <t>SAICO QUISPE BRYANT KEVIN</t>
  </si>
  <si>
    <t>brykensai@gmail.com</t>
  </si>
  <si>
    <t>URB LUCREPATA F-13</t>
  </si>
  <si>
    <t>46750155</t>
  </si>
  <si>
    <t>SALAS SABOYA GINO ANDRE</t>
  </si>
  <si>
    <t>gino20salas@gmail.com</t>
  </si>
  <si>
    <t>ARQUITECTO DE CALIDAD</t>
  </si>
  <si>
    <t>AH VILLA AUTONOMA G 3</t>
  </si>
  <si>
    <t>TARAPOTO</t>
  </si>
  <si>
    <t>31189140</t>
  </si>
  <si>
    <t>SALAZAR CHITA SERGIO ARNOLFO</t>
  </si>
  <si>
    <t>maisefr716@gmail.com</t>
  </si>
  <si>
    <t>AUXILIAR DE MANTENIMIENTO</t>
  </si>
  <si>
    <t>A.P.V.LOS ANGELES LOT.B-7</t>
  </si>
  <si>
    <t>42791076</t>
  </si>
  <si>
    <t>SAMUDIO DEL CASTILLO ALVARO RENE</t>
  </si>
  <si>
    <t>alvaro_delcastillo@hotmail.com</t>
  </si>
  <si>
    <t>JEFE DE SERVICIOS GENERALES Y ALMACÉN</t>
  </si>
  <si>
    <t>AV. HUARAS 100</t>
  </si>
  <si>
    <t>CASMA</t>
  </si>
  <si>
    <t>73301144</t>
  </si>
  <si>
    <t>SANCHEZ PORTILLA JHON KENDRIK</t>
  </si>
  <si>
    <t xml:space="preserve">sjhonkendrik1996@gmail.com </t>
  </si>
  <si>
    <t>JR. LOS ROSALES A-5 APV LA PRADERA (PUQUIN)</t>
  </si>
  <si>
    <t>72440813</t>
  </si>
  <si>
    <t>SANCHEZ SHAPIAMA WILLY ANTHONY</t>
  </si>
  <si>
    <t>willyanthonys2@gmail.com</t>
  </si>
  <si>
    <t>SUPERVISOR DE SSOMA</t>
  </si>
  <si>
    <t xml:space="preserve">MZ. Z4 LT. 12 P. JOVEN SAN MARTIN </t>
  </si>
  <si>
    <t>73481466</t>
  </si>
  <si>
    <t>SILVA CARHUAJULCA JONATHAN JOSE</t>
  </si>
  <si>
    <t>jsilva.carhuajulca95@gmail.com</t>
  </si>
  <si>
    <t>INGENIERO DE PRODUCCIÓN</t>
  </si>
  <si>
    <t>SECTOR LOS LAURELES MZ. E LT. 03</t>
  </si>
  <si>
    <t>CAYALTI</t>
  </si>
  <si>
    <t>71574176</t>
  </si>
  <si>
    <t>SILVA GANOZA IRMA NOHELIA</t>
  </si>
  <si>
    <t xml:space="preserve">noheliasilvaganoza@gmail.com  </t>
  </si>
  <si>
    <t>CALLE AMERICA 261 INT. B CPM. SAN CARLOS</t>
  </si>
  <si>
    <t>75940400</t>
  </si>
  <si>
    <t>SILVA PUELLES YULY</t>
  </si>
  <si>
    <t xml:space="preserve">silvapuellesyuly@gmail.com </t>
  </si>
  <si>
    <t>SONDOR S/N</t>
  </si>
  <si>
    <t>SONDOR</t>
  </si>
  <si>
    <t>HUANCABAMBA</t>
  </si>
  <si>
    <t>45857954</t>
  </si>
  <si>
    <t>SOLANO ASTO SUGAR ROBINSON</t>
  </si>
  <si>
    <t xml:space="preserve">sugar.robinson89@gmail.com </t>
  </si>
  <si>
    <t>PROL. ZELA 1313 SECTOR SINGAPUR</t>
  </si>
  <si>
    <t>62140146</t>
  </si>
  <si>
    <t>SOTACURO BENITES BRYAN PAULO</t>
  </si>
  <si>
    <t xml:space="preserve">brayansotacurobenites@gmail.com </t>
  </si>
  <si>
    <t>CP. NAYLAMP DE SONOMORO</t>
  </si>
  <si>
    <t>77904197</t>
  </si>
  <si>
    <t>SOTELO VILLALOBOS, CESAR</t>
  </si>
  <si>
    <t>cesar.sotelo.villalobos@gmail.com</t>
  </si>
  <si>
    <t xml:space="preserve">AUXILIAR DE ALMACEN </t>
  </si>
  <si>
    <t>A.H ARAHUAY E-20</t>
  </si>
  <si>
    <t>73745968</t>
  </si>
  <si>
    <t>SULLA CORTEZ ELVIS</t>
  </si>
  <si>
    <t>elvis220595@gmail.com</t>
  </si>
  <si>
    <t>JR JOSE CARLOS MARIATEGUI 420</t>
  </si>
  <si>
    <t>74925154</t>
  </si>
  <si>
    <t>TACUSI MAZA TAMMY</t>
  </si>
  <si>
    <t xml:space="preserve">tacusimazatammy@gmail.com </t>
  </si>
  <si>
    <t>AUXILIAR DE TESORERIA</t>
  </si>
  <si>
    <t>RECOLETA 652</t>
  </si>
  <si>
    <t>72942596</t>
  </si>
  <si>
    <t>TALLEDO PEREYRA MARIANA ELIZABETH</t>
  </si>
  <si>
    <t xml:space="preserve">talledomariana7@gmail.com </t>
  </si>
  <si>
    <t>CONTROL DOCUMENTARIO</t>
  </si>
  <si>
    <t>URB MIRAFLORES MZ. X LT. 1</t>
  </si>
  <si>
    <t>72428140</t>
  </si>
  <si>
    <t>TAPIA ENRIQUEZ ADRIANA</t>
  </si>
  <si>
    <t>adrite1999@gmail.com</t>
  </si>
  <si>
    <t>PSJ. CARPIO J-1-387 URB SANTA ROSA</t>
  </si>
  <si>
    <t>71003671</t>
  </si>
  <si>
    <t>TINTAYA ALVARADO KERVIN</t>
  </si>
  <si>
    <t xml:space="preserve">kervintial@gmail.com </t>
  </si>
  <si>
    <t>CALIDAD-INTERVENCION FACONSE</t>
  </si>
  <si>
    <t>ASENT.H PARAISO SANTA ROSA MZ C LT 04</t>
  </si>
  <si>
    <t>43454812</t>
  </si>
  <si>
    <t>TIRADO PINEDO CARMEN REBECA</t>
  </si>
  <si>
    <t>cr.tirado730@gmail.com</t>
  </si>
  <si>
    <t>ARQUITECTO DE PRODUCCIÓN</t>
  </si>
  <si>
    <t>JR.LOS TULIPANES 160-BARR.SAN MARTIN</t>
  </si>
  <si>
    <t>73965216</t>
  </si>
  <si>
    <t>TRILLO HUAMAN DIEGO FERNANDO</t>
  </si>
  <si>
    <t xml:space="preserve">diegotrillo2704@gmail.com </t>
  </si>
  <si>
    <t>URB PROGRESO MZ. E LT. 7</t>
  </si>
  <si>
    <t>47773807</t>
  </si>
  <si>
    <t>TTITO LAYME ELVIS JHON</t>
  </si>
  <si>
    <t>titolaymeelvisjhon@gmail.com</t>
  </si>
  <si>
    <t xml:space="preserve">SSOMA </t>
  </si>
  <si>
    <t>ANGOSTURA PEAJE</t>
  </si>
  <si>
    <t>SAYLLA</t>
  </si>
  <si>
    <t>UCAÑAY PISFIL, CARLOS EDUARDO</t>
  </si>
  <si>
    <t xml:space="preserve">carlosucapisfil@gmail.com </t>
  </si>
  <si>
    <t>BIM MANAGER</t>
  </si>
  <si>
    <t xml:space="preserve">CALLE DIEGO FERRE 149 URB. EL PORVENIR </t>
  </si>
  <si>
    <t>73197310</t>
  </si>
  <si>
    <t>USCAMAITA CARRASCO MARIO ANDERSON</t>
  </si>
  <si>
    <t xml:space="preserve">mario.uscamaita.carrasco@gmail.com </t>
  </si>
  <si>
    <t>APV. PICOL MOJOMPATA MZ. A LT. 3</t>
  </si>
  <si>
    <t>73086057</t>
  </si>
  <si>
    <t xml:space="preserve">VALDIVIEZO ATAIJA ELVA FIORELA </t>
  </si>
  <si>
    <t xml:space="preserve">elvavaldiviezo04@gmail.com </t>
  </si>
  <si>
    <t>CALLE CUZCO 232</t>
  </si>
  <si>
    <t xml:space="preserve">CASTILLA </t>
  </si>
  <si>
    <t xml:space="preserve">PIURA </t>
  </si>
  <si>
    <t>73352896</t>
  </si>
  <si>
    <t>VARGAS ARQUINIGO KEILA CAROLINA</t>
  </si>
  <si>
    <t xml:space="preserve">keilavrgs18@gmail.com </t>
  </si>
  <si>
    <t>AV. CANTA CALLAO S/N DPTO. X205 COND. CIUDAD NUEVA</t>
  </si>
  <si>
    <t>46734880</t>
  </si>
  <si>
    <t>VASQUEZ BALCAZAR NILS ERIKSON</t>
  </si>
  <si>
    <t xml:space="preserve">nils240690@gmail.com </t>
  </si>
  <si>
    <t>JR PROGRESO 241</t>
  </si>
  <si>
    <t>BOLIVAR</t>
  </si>
  <si>
    <t>70829013</t>
  </si>
  <si>
    <t>VENERO VARGAS MARCELO</t>
  </si>
  <si>
    <t>marcelovenerov@gmail.com</t>
  </si>
  <si>
    <t>CD. SACASHUAYLLA-TICAPATA G-10</t>
  </si>
  <si>
    <t>47832664</t>
  </si>
  <si>
    <t>VICENTE CASAS CARMEN KATHERINE</t>
  </si>
  <si>
    <t xml:space="preserve">katherinevicente01@gmail.com </t>
  </si>
  <si>
    <t>CA. 24 MZ. D LT. 30 AH. CRUZ DE MOTUPE GRUPO 4</t>
  </si>
  <si>
    <t>41296195</t>
  </si>
  <si>
    <t>VILCHEZ MADRID, FRANK</t>
  </si>
  <si>
    <t>fvilchezm25@gmail.com</t>
  </si>
  <si>
    <t>GERENTE DE ADMINISTRACIÓN Y FINANZAS</t>
  </si>
  <si>
    <t>URB. LAGUNA DEL CHIPE II ETAPA MZ. R LT. 13</t>
  </si>
  <si>
    <t>47069792</t>
  </si>
  <si>
    <t>VILLA TIRADO JHIN KERVIN</t>
  </si>
  <si>
    <t>villajhin@gmail.com</t>
  </si>
  <si>
    <t>ALONSO DE ALVARADO S/N</t>
  </si>
  <si>
    <t>SAN NICO</t>
  </si>
  <si>
    <t>RODRIGUEZ DE MENDOZA</t>
  </si>
  <si>
    <t>AMAZONAS</t>
  </si>
  <si>
    <t>70462078</t>
  </si>
  <si>
    <t>VILLANUEVA ANGULO JHONATAN</t>
  </si>
  <si>
    <t>villanuevaanguloj@gmail.com</t>
  </si>
  <si>
    <t>CAPATAZ TUBERO</t>
  </si>
  <si>
    <t>PRODUCCION-INTERVENCION LOS INKAS</t>
  </si>
  <si>
    <t>M J PRIMA-L 13 AH. NUEVA ESTRELLA</t>
  </si>
  <si>
    <t>72901854</t>
  </si>
  <si>
    <t>VILLANUEVA GOMEZ ELIZABETH YESENIA</t>
  </si>
  <si>
    <t>evillanuevag@pucp.pe</t>
  </si>
  <si>
    <t>JEFE DE OBRAS CIVILES</t>
  </si>
  <si>
    <t>URB VIRGEN DEL ROSARIO MZ. R1 LT. 27</t>
  </si>
  <si>
    <t>76543124</t>
  </si>
  <si>
    <t>VILLEGAS LARIOS JOSE MARIA</t>
  </si>
  <si>
    <t xml:space="preserve">josevillegas2411@gmai.com </t>
  </si>
  <si>
    <t>CALLE LOS GORRIONES 198 C.POBLADO 09 DE OCTUBRE</t>
  </si>
  <si>
    <t>44261132</t>
  </si>
  <si>
    <t>ZARATE ZARATE ANDERSON</t>
  </si>
  <si>
    <t>ander.zarate@outlook.es</t>
  </si>
  <si>
    <t>PACAYCASA S/N</t>
  </si>
  <si>
    <t>PACAYCASA</t>
  </si>
  <si>
    <t>HUAMANGA</t>
  </si>
  <si>
    <t>AYACUCHO</t>
  </si>
  <si>
    <t>45231234</t>
  </si>
  <si>
    <t>ZAVALA OSSIO JUAN LEONARDO</t>
  </si>
  <si>
    <t xml:space="preserve"> leonardozavala.o@gmail.com</t>
  </si>
  <si>
    <t>GERENTE PROCURA</t>
  </si>
  <si>
    <t>PSJ. MORALES 156</t>
  </si>
  <si>
    <t>HUARAL</t>
  </si>
  <si>
    <t>70337517</t>
  </si>
  <si>
    <t>ZELADA VELASQUEZ ANGHELA JHAJAIRA</t>
  </si>
  <si>
    <t xml:space="preserve">jhajaira_zv96@hotmail.com </t>
  </si>
  <si>
    <t xml:space="preserve">OFICINA TECNICA </t>
  </si>
  <si>
    <t>URB.RES. MONTEMAR MZ. D LT. 10</t>
  </si>
  <si>
    <t>MOCHE</t>
  </si>
  <si>
    <t>70079643</t>
  </si>
  <si>
    <t>ZUNINI INGA FRANK ALFONZO THOMAS</t>
  </si>
  <si>
    <t>thomas.zunini.1994@gmail.com</t>
  </si>
  <si>
    <t>CALLE SEÑOR DE LOS MILAGROS - 16 ASENT.H. 9 DE ABRIL</t>
  </si>
  <si>
    <t>SAN JUAN BAUTISTA</t>
  </si>
  <si>
    <t>72750116</t>
  </si>
  <si>
    <t>ZUÑIGA ESCOBEDO NICOLE LUCIA</t>
  </si>
  <si>
    <t xml:space="preserve">nicolezunesc@gmail.com </t>
  </si>
  <si>
    <t>COOP. DANIEL ALCIDES CARRION MZ. E LT. 19</t>
  </si>
  <si>
    <t>JOSE LUIS BUSTAMANTE</t>
  </si>
  <si>
    <t xml:space="preserve">NO RENOVACION </t>
  </si>
  <si>
    <t>.</t>
  </si>
  <si>
    <t>DIRECCIÓN</t>
  </si>
  <si>
    <t>Distrito</t>
  </si>
  <si>
    <t>FECHA
INGRESO
NOMINA</t>
  </si>
  <si>
    <t>TERMINO
DE 
CONTRATO</t>
  </si>
  <si>
    <t>1° PRORROGA</t>
  </si>
  <si>
    <t>2° PRORROGA</t>
  </si>
  <si>
    <t>3° PRORROGA</t>
  </si>
  <si>
    <t>4° PRORROGA</t>
  </si>
  <si>
    <t>5° PRORROGA</t>
  </si>
  <si>
    <t>6° PRORROGA</t>
  </si>
  <si>
    <t>7° PRORROGA</t>
  </si>
  <si>
    <t>8° PRORROGA</t>
  </si>
  <si>
    <t>9° PRORROGA</t>
  </si>
  <si>
    <t>10° PRORROGA</t>
  </si>
  <si>
    <t>11° PRORROGA</t>
  </si>
  <si>
    <t>12° PRORROGA</t>
  </si>
  <si>
    <t>13° PRORROGA</t>
  </si>
  <si>
    <t>14° PRORROGA</t>
  </si>
  <si>
    <t>15° PRORROGA</t>
  </si>
  <si>
    <t>16° PRORROGA</t>
  </si>
  <si>
    <t>17° PRORROGA</t>
  </si>
  <si>
    <t>18° PRORROGA</t>
  </si>
  <si>
    <t>19° PRORROGA</t>
  </si>
  <si>
    <t>20° PRORROGA</t>
  </si>
  <si>
    <t>21° PRORROGA</t>
  </si>
  <si>
    <t>OBS</t>
  </si>
  <si>
    <t>71432911</t>
  </si>
  <si>
    <t>ANGELES PUMA JESSICA MELISSA</t>
  </si>
  <si>
    <t>46112567</t>
  </si>
  <si>
    <t>BALLENA CASTILLO PEDRO ENRIQUE</t>
  </si>
  <si>
    <t>INGENIERO DE INSTALACIONES</t>
  </si>
  <si>
    <t>FALTA FIRMA AITCIN Y HAVAI</t>
  </si>
  <si>
    <t>42407819</t>
  </si>
  <si>
    <t>BOLOÑOS SARAVIA LUDWEG</t>
  </si>
  <si>
    <t>MEDICO OCUPACIONAL</t>
  </si>
  <si>
    <t>10001181</t>
  </si>
  <si>
    <t>FLORES DURAN JAIME ENRIQUE</t>
  </si>
  <si>
    <t>GERENTE GENERAL</t>
  </si>
  <si>
    <t>46003549</t>
  </si>
  <si>
    <t>JUAREZ DIOSES JUAN JESUS</t>
  </si>
  <si>
    <t>40738865</t>
  </si>
  <si>
    <t>LOPEZ ZARATE ROGER JAVIER</t>
  </si>
  <si>
    <t>JEFE DE SSOMA</t>
  </si>
  <si>
    <t>42064066</t>
  </si>
  <si>
    <t>MATA REINOZO WILLIAM  FERNANDO</t>
  </si>
  <si>
    <t>liquidado</t>
  </si>
  <si>
    <t>30/06/2023</t>
  </si>
  <si>
    <t>BARRIOS, HAVAI Y GANDINI (FALTA)</t>
  </si>
  <si>
    <t>BARRIOS, HAVAI Y GANDINI</t>
  </si>
  <si>
    <t>06719981</t>
  </si>
  <si>
    <t>MAXIMO SANDOVAL FRANCISCO AGUSTIN</t>
  </si>
  <si>
    <t>44628256</t>
  </si>
  <si>
    <t>RODRIGUEZ MONROY CESAR RAUL</t>
  </si>
  <si>
    <t>ADMINISTRADOR DE CONTRATOS</t>
  </si>
  <si>
    <t>OK</t>
  </si>
  <si>
    <t>01/03/2022 AL 31/10/2022</t>
  </si>
  <si>
    <t>43799720</t>
  </si>
  <si>
    <t>RODRIGUEZ ZAPATA LUIS FELIPE</t>
  </si>
  <si>
    <t>23996122</t>
  </si>
  <si>
    <t>ROJAS ZAPANA WILLIAM  WASHINGTON</t>
  </si>
  <si>
    <t>73330160</t>
  </si>
  <si>
    <t>ROSALES SALINAS RENATO</t>
  </si>
  <si>
    <t>40801957</t>
  </si>
  <si>
    <t>SAAVEDRA SANCARRANCO CONCEPCION ANABELI</t>
  </si>
  <si>
    <t>JEFE DE PROCURA</t>
  </si>
  <si>
    <t>70103838</t>
  </si>
  <si>
    <t>VALLE SALAS KATIANA DANAIT</t>
  </si>
  <si>
    <t>ADMINISTRADOR DE OBRA</t>
  </si>
  <si>
    <t>25/01/2022 AL 30/09/2022</t>
  </si>
  <si>
    <t>HERNIQUE GANDINI</t>
  </si>
  <si>
    <t>23990472</t>
  </si>
  <si>
    <t>VENERO DORADO JOHN PAVEL</t>
  </si>
  <si>
    <t>71656130</t>
  </si>
  <si>
    <t>ZAMBRANO VARGAS GERARDO JOSE</t>
  </si>
  <si>
    <t>40403833</t>
  </si>
  <si>
    <t>LEON JIMENEZ MARCO  ANTONIO</t>
  </si>
  <si>
    <t>JEFE DE ADMINISTRACION</t>
  </si>
  <si>
    <t>43247579</t>
  </si>
  <si>
    <t>LLERENA HUARMIYURI CARLOS MAGNO</t>
  </si>
  <si>
    <t>63436592</t>
  </si>
  <si>
    <t xml:space="preserve">APASA CRUZ ABEL </t>
  </si>
  <si>
    <t>24000956</t>
  </si>
  <si>
    <t>CARBAJAL LAURA ROBERTO CARLOS</t>
  </si>
  <si>
    <t>GERENTE DE OFICINA TECNICA</t>
  </si>
  <si>
    <t>48184564</t>
  </si>
  <si>
    <t xml:space="preserve">CRUZ GARAVITO ANTONY </t>
  </si>
  <si>
    <t>FINANCIERO</t>
  </si>
  <si>
    <t>46108362</t>
  </si>
  <si>
    <t>GONZALES  CERVANTES MARIA ADRIANA</t>
  </si>
  <si>
    <t>ARQUITECTA ESPECIALISTA</t>
  </si>
  <si>
    <t>45283241</t>
  </si>
  <si>
    <t>PAREDES TRUJILLO VILLY RICHARD</t>
  </si>
  <si>
    <t>INGENIERO DE PROCURA</t>
  </si>
  <si>
    <t xml:space="preserve">MENDEZ TORRES ALEXIS HUMBERTO </t>
  </si>
  <si>
    <t>43467715</t>
  </si>
  <si>
    <t>SILVA MAMANI DAVID</t>
  </si>
  <si>
    <t>10723251</t>
  </si>
  <si>
    <t>FLORES VARGAS EDWIN CARLOS</t>
  </si>
  <si>
    <t>PARAMEDICO CONDUCTOR DE AMBULANCIA</t>
  </si>
  <si>
    <t>16731445</t>
  </si>
  <si>
    <t xml:space="preserve">AMENERO RIVERA RICARDO </t>
  </si>
  <si>
    <t>GERENTE DE DISEÑO</t>
  </si>
  <si>
    <t>ARQUITECTURA</t>
  </si>
  <si>
    <t>01/05/2022 al  30/06/2022</t>
  </si>
  <si>
    <t>BARRIOS Y HAVAI</t>
  </si>
  <si>
    <t>AITCIN Y HAVAI</t>
  </si>
  <si>
    <t>07885306</t>
  </si>
  <si>
    <t>ARATA DELGADO, MARIA PIA</t>
  </si>
  <si>
    <t>JEFE DE DISEÑO</t>
  </si>
  <si>
    <t>DISEÑO</t>
  </si>
  <si>
    <t>45119589</t>
  </si>
  <si>
    <t>ARISTA  MAS CARLOS MARX</t>
  </si>
  <si>
    <t>PLANEAMIENTO</t>
  </si>
  <si>
    <t>HAVAI Y AITCIN</t>
  </si>
  <si>
    <t>L</t>
  </si>
  <si>
    <t>41335487</t>
  </si>
  <si>
    <t xml:space="preserve">BACA SOTOMAYOR YENI </t>
  </si>
  <si>
    <t>ENFERMERA OCUPACIONAL</t>
  </si>
  <si>
    <t>23945249</t>
  </si>
  <si>
    <t>CABALLERO COELLO ALCIRA SIRLEY</t>
  </si>
  <si>
    <t>ENFERMERA</t>
  </si>
  <si>
    <t>16/04/2022 al 30/06/2022</t>
  </si>
  <si>
    <t>ROJAS CLAUDIO</t>
  </si>
  <si>
    <t>BARRIOS Y GANDINI</t>
  </si>
  <si>
    <t>X</t>
  </si>
  <si>
    <t>42249108</t>
  </si>
  <si>
    <t>CARRION PEREZ, ALAN JOSHEP</t>
  </si>
  <si>
    <t>46168855</t>
  </si>
  <si>
    <t>CCAULLA GOMEZ CARLOS  EDUARDO</t>
  </si>
  <si>
    <t>ASISTENTE DE VALORIZACIONES</t>
  </si>
  <si>
    <t>40023502</t>
  </si>
  <si>
    <t xml:space="preserve">ESPINOZA RIVERA ELIZABETH </t>
  </si>
  <si>
    <t xml:space="preserve">FLORES VARGAS EDWIN CARLOS </t>
  </si>
  <si>
    <t>73512089</t>
  </si>
  <si>
    <t>GARAY CHAMORRO DERLY KIARA</t>
  </si>
  <si>
    <t>23967045</t>
  </si>
  <si>
    <t>PACHECO LETONA JULIO CESAR</t>
  </si>
  <si>
    <t>RESPONSABLE DE SITIO</t>
  </si>
  <si>
    <t>PRODUCCION</t>
  </si>
  <si>
    <t>GANDINI</t>
  </si>
  <si>
    <t>BARRIOS Y  GANDINI</t>
  </si>
  <si>
    <t>02894816</t>
  </si>
  <si>
    <t xml:space="preserve">QUINTO NEGLIA ISAYO </t>
  </si>
  <si>
    <t>GERENTE TECNICO DE PROYECTO</t>
  </si>
  <si>
    <t>32966805</t>
  </si>
  <si>
    <t>SILVA VERGARA JUAN CARLOS</t>
  </si>
  <si>
    <t>ANALISTA DE PRESUPUESTOS</t>
  </si>
  <si>
    <t>16/04/2022 AL 30/06/2022</t>
  </si>
  <si>
    <t>01/11/2022 AL 31/10/2023</t>
  </si>
  <si>
    <t>46554034</t>
  </si>
  <si>
    <t>TOMAYLLA ROLDAN BERZAYDA</t>
  </si>
  <si>
    <t>72887054</t>
  </si>
  <si>
    <t>YACO LOAIZA, JEAN MARCO</t>
  </si>
  <si>
    <t>ASISTENTE DE COSTOS</t>
  </si>
  <si>
    <t>LIQUIDAR</t>
  </si>
  <si>
    <t>46112598</t>
  </si>
  <si>
    <t>AYALA MEJIA, ANGELLA DEL MILAGRO</t>
  </si>
  <si>
    <t>CONSULTOR EN EQUIPAMIENTO MEDICO</t>
  </si>
  <si>
    <t>40114288</t>
  </si>
  <si>
    <t>CHAMORRO BANDA GUILLERMO ALEJANDRO</t>
  </si>
  <si>
    <t>INGENIERO EN EQUIPAMIENTO MEDICO</t>
  </si>
  <si>
    <t>42787098</t>
  </si>
  <si>
    <t>GIRON RONDINEL ROSALYNN MAYBEE</t>
  </si>
  <si>
    <t>ING COSTOS Y PROCURA</t>
  </si>
  <si>
    <t>09640941</t>
  </si>
  <si>
    <t>PATIÑO SAMUDIO BENDEZU, OSWALDO ALFONSO</t>
  </si>
  <si>
    <t>07643177</t>
  </si>
  <si>
    <t>MIRANDA DE LA VEGA JUAN CARLOS</t>
  </si>
  <si>
    <t>GERENTE DE OFICINA TECNICA (KP)</t>
  </si>
  <si>
    <t>01/11/2022 al 31/12/2022</t>
  </si>
  <si>
    <t>31/08/20233</t>
  </si>
  <si>
    <t>44417814</t>
  </si>
  <si>
    <t>ANTEZANO CHAVEZ, GERMAN</t>
  </si>
  <si>
    <t>08301967</t>
  </si>
  <si>
    <t>CARDENAS BONILLA JAIME ANTONIO</t>
  </si>
  <si>
    <t>09412568</t>
  </si>
  <si>
    <t>GUTIERREZ HUARACA, EDWIN JHONY</t>
  </si>
  <si>
    <t>48383546</t>
  </si>
  <si>
    <t>MENDOZA FLORES SANDRA CAROLINA</t>
  </si>
  <si>
    <t>GERENTE DE CALIDAD (KP)</t>
  </si>
  <si>
    <t>74568094</t>
  </si>
  <si>
    <t>BECERRA PIEROLA JESUS DARLENY</t>
  </si>
  <si>
    <t>ASISTENTE DE ARQUITECTURA</t>
  </si>
  <si>
    <t>ok</t>
  </si>
  <si>
    <t>42596183</t>
  </si>
  <si>
    <t>LONCONI CHAVEZ EDWAR ALEX</t>
  </si>
  <si>
    <t>CONDUCTOR</t>
  </si>
  <si>
    <t>10392064</t>
  </si>
  <si>
    <t>VERAMENDI GUERRERO DOLA EVILI</t>
  </si>
  <si>
    <t>46519874</t>
  </si>
  <si>
    <t>PECEROS VENEGAS, DOSTOIEVSKI</t>
  </si>
  <si>
    <t>Ingeniero Asistente de Instalaciones</t>
  </si>
  <si>
    <t>25854644</t>
  </si>
  <si>
    <t>PERALTA VELARDE WALKER MOISES</t>
  </si>
  <si>
    <t>72737047</t>
  </si>
  <si>
    <t xml:space="preserve">BOCANEGRA PASHANASTE PEDRO JAVIER </t>
  </si>
  <si>
    <t>41544282</t>
  </si>
  <si>
    <t>HERNANDEZ VILLALOBOS NANCY RUBI</t>
  </si>
  <si>
    <t>JEFE SIG</t>
  </si>
  <si>
    <t>46831109</t>
  </si>
  <si>
    <t xml:space="preserve">PEÑA PAREDES BURNO MIGUEL </t>
  </si>
  <si>
    <t>72150924</t>
  </si>
  <si>
    <t xml:space="preserve">BERAUN RIVERA GERARDINO LUIS </t>
  </si>
  <si>
    <t>beraunrivera@gmail.com</t>
  </si>
  <si>
    <t xml:space="preserve">BIM </t>
  </si>
  <si>
    <t xml:space="preserve">VALLE RIESTRA 1484 </t>
  </si>
  <si>
    <t xml:space="preserve">PUEBLO LIBRE </t>
  </si>
  <si>
    <t>71890446</t>
  </si>
  <si>
    <t xml:space="preserve">CAMIZAN MEZA YANCARLOS </t>
  </si>
  <si>
    <t xml:space="preserve">yan802086@gamil.com </t>
  </si>
  <si>
    <t xml:space="preserve">AUXILIAR DE SEGURIDAD PATRIMONIAL </t>
  </si>
  <si>
    <t xml:space="preserve">AV HEROES DEL CENEPA 1279 - B-BAGUA </t>
  </si>
  <si>
    <t xml:space="preserve">BAGUA </t>
  </si>
  <si>
    <t>BAGUA</t>
  </si>
  <si>
    <t xml:space="preserve">AMAZONAS </t>
  </si>
  <si>
    <t>46428608</t>
  </si>
  <si>
    <t xml:space="preserve">ESCALANTE CHAVEZ FRANTY LEONEL </t>
  </si>
  <si>
    <t xml:space="preserve">frantyleonel@gmail.com </t>
  </si>
  <si>
    <t xml:space="preserve">CADISTA </t>
  </si>
  <si>
    <t xml:space="preserve">URB LOS SAUCES MZ F-2 LT B </t>
  </si>
  <si>
    <t xml:space="preserve">WANCHAQ  </t>
  </si>
  <si>
    <t>002857071</t>
  </si>
  <si>
    <t xml:space="preserve">GONZALEZ CARRILLO ROSMAR SAMARITH </t>
  </si>
  <si>
    <t>samarith29@gmail.com</t>
  </si>
  <si>
    <t xml:space="preserve">INGENIERO BIOMEDICO </t>
  </si>
  <si>
    <t xml:space="preserve">EQPM </t>
  </si>
  <si>
    <t xml:space="preserve">AV LOS FAISANES N° 535 </t>
  </si>
  <si>
    <t xml:space="preserve">CHORRILLOS </t>
  </si>
  <si>
    <t>72665283</t>
  </si>
  <si>
    <t xml:space="preserve">HOLGADO CORNEJO CLAUDIA LUCIA </t>
  </si>
  <si>
    <t xml:space="preserve">claudiaholgado@outlook.com </t>
  </si>
  <si>
    <t>VICTOR ANDRES BELANUNDE URB. MAGISTERIAL MZ C LT 13</t>
  </si>
  <si>
    <t>48319539</t>
  </si>
  <si>
    <t xml:space="preserve">HUAMANGUILLA QUISPE ARNOLD JAIME </t>
  </si>
  <si>
    <t xml:space="preserve">arnoldhuamanguilla@gmail.com </t>
  </si>
  <si>
    <t xml:space="preserve">AV BELAUNDE </t>
  </si>
  <si>
    <t xml:space="preserve">CHINCHAYPUJIO </t>
  </si>
  <si>
    <t xml:space="preserve">ANTA </t>
  </si>
  <si>
    <t>72170700</t>
  </si>
  <si>
    <t xml:space="preserve">INQUILTUPA CRUZ FERNANDO FABRICIO </t>
  </si>
  <si>
    <t>fabri130918@gmail.com</t>
  </si>
  <si>
    <t xml:space="preserve">URB SAN FRANCISCO A-5 </t>
  </si>
  <si>
    <t xml:space="preserve">WANCHAQ </t>
  </si>
  <si>
    <t>47729001</t>
  </si>
  <si>
    <t>MARTINEZ CLAUDIO TATIANA MARIA VILMA</t>
  </si>
  <si>
    <t>tatiana.mmartinezc@gmail.com</t>
  </si>
  <si>
    <t xml:space="preserve">ESPECILISTA DE ARQUITECTURA </t>
  </si>
  <si>
    <t xml:space="preserve">PRL BOLIVIA 151 </t>
  </si>
  <si>
    <t xml:space="preserve">HUANUCO </t>
  </si>
  <si>
    <t>73123971</t>
  </si>
  <si>
    <t xml:space="preserve">QUISPE CUSIRIMAY ANIBAL </t>
  </si>
  <si>
    <t xml:space="preserve">anibalquispecusirimay34@gmail.com </t>
  </si>
  <si>
    <t xml:space="preserve">OPERADOR DE RETROEXCAVCADROA </t>
  </si>
  <si>
    <t xml:space="preserve">COMUNIDAD CAMPESINA TAMBO REAL S/N </t>
  </si>
  <si>
    <t xml:space="preserve">ZURITE </t>
  </si>
  <si>
    <t>HUAMANI RODRIGUEZ KEVIN ALONSO</t>
  </si>
  <si>
    <t>alonso.huamani@urp.edu.pe</t>
  </si>
  <si>
    <t xml:space="preserve">ZONA VALLE DE JESUS MZ C LT 21 </t>
  </si>
  <si>
    <t xml:space="preserve">VILLA EL SALVADOR </t>
  </si>
  <si>
    <t xml:space="preserve">LIMA </t>
  </si>
  <si>
    <t xml:space="preserve"> agonzalesd@uni.pe</t>
  </si>
  <si>
    <t xml:space="preserve">JR PEDRO PAULET 142 URB INGENIERIA </t>
  </si>
  <si>
    <t>URB. VERSALLES MZ L 10 LARAPA</t>
  </si>
  <si>
    <t xml:space="preserve">SAN JERONIMO </t>
  </si>
  <si>
    <t>131054@unsaac.edu.pe</t>
  </si>
  <si>
    <t xml:space="preserve">AV LOS GIRASOLES 18 VILLA PARAISO MZ LT F DPTO 40 </t>
  </si>
  <si>
    <t xml:space="preserve">SAN SEBASTIAN </t>
  </si>
  <si>
    <t xml:space="preserve">NINA QUISPE RONNY MICHAEL </t>
  </si>
  <si>
    <t xml:space="preserve">JR. JULI 115 </t>
  </si>
  <si>
    <t xml:space="preserve">PUNO </t>
  </si>
  <si>
    <t>VENERO VARGAS, MARCELO</t>
  </si>
  <si>
    <t xml:space="preserve">CD. SACASHUAYLLA - TICAPATA G-10 </t>
  </si>
  <si>
    <t>45630170</t>
  </si>
  <si>
    <t>AGAPITO CORDOVA DIEGO IVAN</t>
  </si>
  <si>
    <t>diego.agapito.cordova@gmail.com</t>
  </si>
  <si>
    <t>COSTOS</t>
  </si>
  <si>
    <t xml:space="preserve">AV LOS PROCURSORES 630 DPTO 301 URB VALLE HERMOSO DE MONTERRICO </t>
  </si>
  <si>
    <t xml:space="preserve">SANTIAGO DE SURCO </t>
  </si>
  <si>
    <t xml:space="preserve">BAJA </t>
  </si>
  <si>
    <t>72766723</t>
  </si>
  <si>
    <t>AGUIRRE ZUÑIGA CESAR LUIS</t>
  </si>
  <si>
    <t>celuazu@hotmail.com</t>
  </si>
  <si>
    <t xml:space="preserve">INGENIERO DE PROCURA </t>
  </si>
  <si>
    <t xml:space="preserve">CALLE CIRO ALEGRI URB. VILLA MIRAFLORES MZ E LT 4 </t>
  </si>
  <si>
    <t>40849478</t>
  </si>
  <si>
    <t xml:space="preserve">ALAYO AGUILAR CHRISTIAN ALDO </t>
  </si>
  <si>
    <t>c_alayo@hotmail.com</t>
  </si>
  <si>
    <t>RESPONSABLE DE RECURSOS HUMANOS</t>
  </si>
  <si>
    <t>RRHH</t>
  </si>
  <si>
    <t xml:space="preserve">CALLE RIO RIMAC 259 MZ E1 LT 03 URB LA VIÑA </t>
  </si>
  <si>
    <t xml:space="preserve">SAN LUIS </t>
  </si>
  <si>
    <t>70939076</t>
  </si>
  <si>
    <t xml:space="preserve">ALARCON RODAS ROBERT </t>
  </si>
  <si>
    <t xml:space="preserve">rob.alarcon07@gmail.com </t>
  </si>
  <si>
    <t xml:space="preserve">ASISTENTE DE ADMINISTRACION DE DSUBCONTRATOS </t>
  </si>
  <si>
    <t xml:space="preserve">AV. SAN JUAN 971BLOCK 3 EDIF 3 VEREDA QUEDA EN UNA AVENIDA </t>
  </si>
  <si>
    <t xml:space="preserve">SAN JUAN DE MIRAFLORES </t>
  </si>
  <si>
    <t>8177998</t>
  </si>
  <si>
    <t xml:space="preserve">ALVARO CASTRO JOSE LUIS </t>
  </si>
  <si>
    <t xml:space="preserve">jalvarocastro@gmail.com </t>
  </si>
  <si>
    <t xml:space="preserve">APLICADOR DE ACABADOS EN VENTANAS </t>
  </si>
  <si>
    <t xml:space="preserve">PRODUCCION LORENA VIDRIOS </t>
  </si>
  <si>
    <t>ASOC. PRO VIV CAMINO REAL CUSCO MZ. T LT. 7</t>
  </si>
  <si>
    <t xml:space="preserve">ACTIVO </t>
  </si>
  <si>
    <t>23853643</t>
  </si>
  <si>
    <t>AMANCA HUAMAN, PAULINA</t>
  </si>
  <si>
    <t>paulita6765@hotmail.com</t>
  </si>
  <si>
    <t>ASISTENTA SOCIAL</t>
  </si>
  <si>
    <t xml:space="preserve">URB UCCHULLO GRANDE AV ARGENTINA T9 </t>
  </si>
  <si>
    <t>BAJA</t>
  </si>
  <si>
    <t>71420266</t>
  </si>
  <si>
    <t xml:space="preserve">AMORIN COLOMA LUIS ARMANDO </t>
  </si>
  <si>
    <t>amorin11.laac@hotmail.com</t>
  </si>
  <si>
    <t>INGENIERO DE PRODUCCION</t>
  </si>
  <si>
    <t xml:space="preserve">JR CERRO DE PASCO 205 </t>
  </si>
  <si>
    <t xml:space="preserve">CALLERIA </t>
  </si>
  <si>
    <t xml:space="preserve">CORONEL PORTILLO </t>
  </si>
  <si>
    <t xml:space="preserve">UCAYALI </t>
  </si>
  <si>
    <t>48449679</t>
  </si>
  <si>
    <t xml:space="preserve">ARANIBAR GAVIÑO MONICA </t>
  </si>
  <si>
    <t xml:space="preserve">paty081208@gmail.com </t>
  </si>
  <si>
    <t xml:space="preserve">BIM - ESPECIALIDADES </t>
  </si>
  <si>
    <t xml:space="preserve">CAMINOS DEL INCA MZ J-5 LT 17 IER PISO </t>
  </si>
  <si>
    <t>70792140</t>
  </si>
  <si>
    <t>ARGUEDAS BALDEÓN MARIA JOSE DEL ROSARIO</t>
  </si>
  <si>
    <t>marba20@gmail.com</t>
  </si>
  <si>
    <t>ASISTENTE DE CALIDAD SIG</t>
  </si>
  <si>
    <t xml:space="preserve">AV COLOMBIA 171 DPTO 401 </t>
  </si>
  <si>
    <t>72244007</t>
  </si>
  <si>
    <t xml:space="preserve">ARRAMBIDE QUISPE, JULIO CESAR </t>
  </si>
  <si>
    <t>julitojw2411@gmail.com</t>
  </si>
  <si>
    <t xml:space="preserve">APV ALTO SAN MARTIN LT30 </t>
  </si>
  <si>
    <t xml:space="preserve">SANTIAGO </t>
  </si>
  <si>
    <t>7420354</t>
  </si>
  <si>
    <t xml:space="preserve">ARROYO MANRIQUE ESTANISLAO </t>
  </si>
  <si>
    <t xml:space="preserve">yorcharroyomanrique@gmail.com </t>
  </si>
  <si>
    <t xml:space="preserve">ANEXO ALTO TIWINZA </t>
  </si>
  <si>
    <t xml:space="preserve">SATIPPO </t>
  </si>
  <si>
    <t xml:space="preserve">JUNIN </t>
  </si>
  <si>
    <t>72912472</t>
  </si>
  <si>
    <t>ARROYO TARMEÑO SUSAN STEFHANIE</t>
  </si>
  <si>
    <t>susan.arrts@gmail.com</t>
  </si>
  <si>
    <t>INGENIERA SANITARIA</t>
  </si>
  <si>
    <t xml:space="preserve">ASC. DE ABRIL MZ 18 LT 05 </t>
  </si>
  <si>
    <t xml:space="preserve">TUPAC AMARU INCA </t>
  </si>
  <si>
    <t xml:space="preserve">PISCO </t>
  </si>
  <si>
    <t>ICA</t>
  </si>
  <si>
    <t>09521328</t>
  </si>
  <si>
    <t xml:space="preserve">AYALA VENTOSILLA DENEGRI EDGARDO </t>
  </si>
  <si>
    <t xml:space="preserve">ayala995164006@gmail.com </t>
  </si>
  <si>
    <t xml:space="preserve">CAPATAZ SANITARIO </t>
  </si>
  <si>
    <t>ESPECIALIDADES</t>
  </si>
  <si>
    <t xml:space="preserve">CALLE LOS CLAVELES MZ A LT 15 PRO VIV ATLANTA </t>
  </si>
  <si>
    <t>44975577</t>
  </si>
  <si>
    <t xml:space="preserve">AYALA ESCALANTE JUAN CARLOS </t>
  </si>
  <si>
    <t xml:space="preserve">jcayalae@gmail.com </t>
  </si>
  <si>
    <t xml:space="preserve">JEFE SIG </t>
  </si>
  <si>
    <t>AV. CONDOMINIO VILLA VERDE 2 EDIFICIO E03 DPTO 703 LT F3</t>
  </si>
  <si>
    <t xml:space="preserve">CERRO COLORADO </t>
  </si>
  <si>
    <t>76214921</t>
  </si>
  <si>
    <t>BERRIOS PAUCAR ED DARWIN</t>
  </si>
  <si>
    <t xml:space="preserve">darwinricardoberrios@gmail.com </t>
  </si>
  <si>
    <t xml:space="preserve">ASISTENTE DE SEGURIDAD PATRIMONIAL </t>
  </si>
  <si>
    <t>CALLE FRANCISCO ROMAÑA 297</t>
  </si>
  <si>
    <t>77470723</t>
  </si>
  <si>
    <t xml:space="preserve">BERMEJO TABOADA EDWAR </t>
  </si>
  <si>
    <t xml:space="preserve">bermejo.2504@gmail.com </t>
  </si>
  <si>
    <t xml:space="preserve">ASISTENTE DE INSTALACIONES MECANICAS </t>
  </si>
  <si>
    <t xml:space="preserve">ESPECIALIDADES </t>
  </si>
  <si>
    <t xml:space="preserve">JR. PIURA 500 </t>
  </si>
  <si>
    <t>45433385</t>
  </si>
  <si>
    <t>BERNAOLA CHUQUILLANQUI, ROBERTO JOSE</t>
  </si>
  <si>
    <t>robertojosebernaola@gmail.com</t>
  </si>
  <si>
    <t>INGENIERO DE COSTOS</t>
  </si>
  <si>
    <t xml:space="preserve">AV. PANAMERICANA N° 894 </t>
  </si>
  <si>
    <t xml:space="preserve">HUANCAN </t>
  </si>
  <si>
    <t xml:space="preserve">HUANCAYO </t>
  </si>
  <si>
    <t>41686216</t>
  </si>
  <si>
    <t xml:space="preserve">BRAVO FIGUEROA MAURO JESUS </t>
  </si>
  <si>
    <t>mbf3170@gmail.com</t>
  </si>
  <si>
    <t>ASISTENTE SANITARIO</t>
  </si>
  <si>
    <t xml:space="preserve">SECTRO 3 GRUPO 10 MZ I LT 16 </t>
  </si>
  <si>
    <t>40896431</t>
  </si>
  <si>
    <t xml:space="preserve">CALANCHE CARDENAS ROBERTO CARDENAS </t>
  </si>
  <si>
    <t xml:space="preserve">rcarlos.calanche.cardenas@gmail.com </t>
  </si>
  <si>
    <t>JR JERUSALEN 101 SANTA ANA</t>
  </si>
  <si>
    <t>70348093</t>
  </si>
  <si>
    <t xml:space="preserve">CALDERON TASSARA JOSE ANTONIO </t>
  </si>
  <si>
    <t xml:space="preserve">jact080799@outlook.com </t>
  </si>
  <si>
    <t>JR. ROSENDO VIDAURRE 641 DPTO 1783</t>
  </si>
  <si>
    <t xml:space="preserve">BARRANCO </t>
  </si>
  <si>
    <t>73759376</t>
  </si>
  <si>
    <t xml:space="preserve">CALLO CCANA, DIEGO ALEXIS </t>
  </si>
  <si>
    <t>diego.alexis.callo.c@gmail.com</t>
  </si>
  <si>
    <t>APV LOS MAJEÑOS D-27</t>
  </si>
  <si>
    <t>70815854</t>
  </si>
  <si>
    <t xml:space="preserve">CAMARGO GONZALES LIZETH MARGARITA </t>
  </si>
  <si>
    <t>camargo_gonzales@hotmail.com</t>
  </si>
  <si>
    <t xml:space="preserve">CALLE CAHUIDE S/N SAN JUAN </t>
  </si>
  <si>
    <t xml:space="preserve">SAN JUAN </t>
  </si>
  <si>
    <t xml:space="preserve">LUCANA </t>
  </si>
  <si>
    <t xml:space="preserve">AYACUCHO </t>
  </si>
  <si>
    <t>70759003</t>
  </si>
  <si>
    <t xml:space="preserve">CANO MAC DOWALL ANDREA PATRICIA </t>
  </si>
  <si>
    <t xml:space="preserve">andrea.canomd@gmail.com </t>
  </si>
  <si>
    <t xml:space="preserve">RESPONSABLE 4D </t>
  </si>
  <si>
    <t xml:space="preserve">PLANEAMIENTO </t>
  </si>
  <si>
    <t xml:space="preserve">URB QUINTA DEL SOL MZ B LT 30 </t>
  </si>
  <si>
    <t>10815173</t>
  </si>
  <si>
    <t xml:space="preserve">CANO VALDEZ CESAR EDUARDO </t>
  </si>
  <si>
    <t>cesarcano2005@gmail.com</t>
  </si>
  <si>
    <t>ESPECIALISTA SANITARIO</t>
  </si>
  <si>
    <t xml:space="preserve">AV. BRASIL 1433 DPTO 602 </t>
  </si>
  <si>
    <t xml:space="preserve">JESUS MARIA </t>
  </si>
  <si>
    <t>003154105</t>
  </si>
  <si>
    <t>CARDOZA CARRIZALEZ DOENYS JOSE</t>
  </si>
  <si>
    <t>doecaring@gmail.com</t>
  </si>
  <si>
    <t>JEFE DE CONTROL DOCUMENTARIO</t>
  </si>
  <si>
    <t xml:space="preserve">LEGAL </t>
  </si>
  <si>
    <t>AV AVELINO CASERES UNIDAD VECIANAL VELLA NICOLAZA MZ J LT 15 INT 101</t>
  </si>
  <si>
    <t>41416393</t>
  </si>
  <si>
    <t>CARRASCO UBILLUS DIANA VIRGINIA</t>
  </si>
  <si>
    <t>dcarrasco@consorciosrt.com</t>
  </si>
  <si>
    <t>ADMINISTRADORA DE OBRA</t>
  </si>
  <si>
    <t>ADMINISTRACION</t>
  </si>
  <si>
    <t xml:space="preserve">AV LA MARINA 236 DPTO 1302 </t>
  </si>
  <si>
    <t>42198321</t>
  </si>
  <si>
    <t>CARTOLIN PARIONA JUAN CARLOS</t>
  </si>
  <si>
    <t>jc.yidda@gmail.com</t>
  </si>
  <si>
    <t>TECNICO ESPECIALIZADO DE CALIDAD</t>
  </si>
  <si>
    <t xml:space="preserve">PROVIV LAS PRADERAS DE OQUENDO MZ D LT 32 </t>
  </si>
  <si>
    <t xml:space="preserve">CALLAO </t>
  </si>
  <si>
    <t>77149932</t>
  </si>
  <si>
    <t xml:space="preserve">CASAS ORIHUELA GUILLERMO IVAN </t>
  </si>
  <si>
    <t>guilleco95@gmail.com</t>
  </si>
  <si>
    <t>PROCURA</t>
  </si>
  <si>
    <t>AV. SAN HILARION OESTE 300</t>
  </si>
  <si>
    <t xml:space="preserve">SAN JUAN DE LURIGANCHO </t>
  </si>
  <si>
    <t>10782242</t>
  </si>
  <si>
    <t>CATALAN ESPINOZA CESAR AUGUSTO</t>
  </si>
  <si>
    <t>cesar.acatalan@gmail.com</t>
  </si>
  <si>
    <t>TECNICO ESPECIALIZADO DE PROCURA</t>
  </si>
  <si>
    <t xml:space="preserve">JR SANTANDER 139 DPTO B </t>
  </si>
  <si>
    <t>45857223</t>
  </si>
  <si>
    <t>CESPEDES OJEDA AMELIDA ISABEL</t>
  </si>
  <si>
    <t>amelida.cespedes.o@gmail.com</t>
  </si>
  <si>
    <t xml:space="preserve">MZ E LOTE 13 1ERA ETAPA URB. LOPEZ ALBUJAR </t>
  </si>
  <si>
    <t xml:space="preserve">SULLANA </t>
  </si>
  <si>
    <t>10538628</t>
  </si>
  <si>
    <t>CHACON CHAVEZ ANTONIETA NIEVES</t>
  </si>
  <si>
    <t>nievesantonieta07@gmail.com</t>
  </si>
  <si>
    <t xml:space="preserve">CA. MZ Q2 LT 21 AA.HH. LOS ROSALES DE PRO </t>
  </si>
  <si>
    <t xml:space="preserve">LOS OLIVOS </t>
  </si>
  <si>
    <t>gachb3001@gmail.com</t>
  </si>
  <si>
    <t>ESPECIALISTA EN EQUIPAMIENTO MEDICO</t>
  </si>
  <si>
    <t xml:space="preserve">PROCURA EQUIPAMIENTO MEDICO </t>
  </si>
  <si>
    <t xml:space="preserve">CAL LOS BANANOS 107 DPTO 301 URB LOS CACTUS </t>
  </si>
  <si>
    <t xml:space="preserve">LA MOLINA </t>
  </si>
  <si>
    <t>40349451</t>
  </si>
  <si>
    <t xml:space="preserve">CHAVEZ CASTRO KLAUS </t>
  </si>
  <si>
    <t>kchavezc@consorcioripconciv-stiler.com</t>
  </si>
  <si>
    <t>INGENIERO ESPECIALISTA DE INSTALACIONES</t>
  </si>
  <si>
    <t xml:space="preserve">AV ALIPIO PONCE MZ E1 LT 06 URB. LA CAMPIÑA </t>
  </si>
  <si>
    <t>CHORRILOS</t>
  </si>
  <si>
    <t>76340350</t>
  </si>
  <si>
    <t xml:space="preserve">CHUMBE DUEÑAS JORGE LUIS </t>
  </si>
  <si>
    <t>jorgechume7@gmail.com</t>
  </si>
  <si>
    <t xml:space="preserve">AUXILIAR DE TOPOGRAFIA </t>
  </si>
  <si>
    <t xml:space="preserve">TOPOGRAFIA </t>
  </si>
  <si>
    <t xml:space="preserve">GRAU 1010 </t>
  </si>
  <si>
    <t xml:space="preserve">YUCAY </t>
  </si>
  <si>
    <t xml:space="preserve">URUBAMBA </t>
  </si>
  <si>
    <t>73535213</t>
  </si>
  <si>
    <t>CHUMBEZ LLAMOCCA SOLEDAD</t>
  </si>
  <si>
    <t>soledadchumbez@gmail.com</t>
  </si>
  <si>
    <t xml:space="preserve">BUENA VISTA R-1 APV LOS INKAS </t>
  </si>
  <si>
    <t>006133051</t>
  </si>
  <si>
    <t xml:space="preserve">COLOMINAS TARIGO DANIEL OSCAR </t>
  </si>
  <si>
    <t>dancolominas@hotmail.com</t>
  </si>
  <si>
    <t>RESPONSABLE DE PRODUCCION</t>
  </si>
  <si>
    <t>CALLE VALLE RIESTRA N° 634</t>
  </si>
  <si>
    <t xml:space="preserve">SAN  ISIDRO </t>
  </si>
  <si>
    <t>72897762</t>
  </si>
  <si>
    <t xml:space="preserve">COLQUE CHURAPA PATY MARIBEL </t>
  </si>
  <si>
    <t>maribelchurapa@gmial.com</t>
  </si>
  <si>
    <t xml:space="preserve">ASISTENTE INGENIERO DE PRODUCCION </t>
  </si>
  <si>
    <t xml:space="preserve">PROLONG. J. GALVEZ -22 </t>
  </si>
  <si>
    <t xml:space="preserve">SICUANI </t>
  </si>
  <si>
    <t xml:space="preserve">CANCHIS </t>
  </si>
  <si>
    <t>23996169</t>
  </si>
  <si>
    <t xml:space="preserve">CONDORI CAJIGAS ROSARIO </t>
  </si>
  <si>
    <t>rosariocondoricujigas@gmail.com</t>
  </si>
  <si>
    <t xml:space="preserve">CAPILLA ZARZUELA LT X </t>
  </si>
  <si>
    <t>48338774</t>
  </si>
  <si>
    <t xml:space="preserve">CONDORI CONDORI WILLIAM DAMASO </t>
  </si>
  <si>
    <t xml:space="preserve">g.elemental.d@gmail.com </t>
  </si>
  <si>
    <t>JR. BAHUA 1039</t>
  </si>
  <si>
    <t xml:space="preserve">JULIACA </t>
  </si>
  <si>
    <t xml:space="preserve">SAN ROAMAN </t>
  </si>
  <si>
    <t>44425934</t>
  </si>
  <si>
    <t>CONDORI VILLAFUERTE JORGE</t>
  </si>
  <si>
    <t>xjorge_10@hotmail.com</t>
  </si>
  <si>
    <t>Calle Sacsayhuaman Chimpahuaylla</t>
  </si>
  <si>
    <t>484537705</t>
  </si>
  <si>
    <t xml:space="preserve">CORDOVA APAZA ANTHONY </t>
  </si>
  <si>
    <t xml:space="preserve">anthonygoud3@gmail.com </t>
  </si>
  <si>
    <t xml:space="preserve">URB. TUPAC AMARU W-10 </t>
  </si>
  <si>
    <t>46389633</t>
  </si>
  <si>
    <t>CORDOVA RUIZ HERBERT FRANCISCO PAUL</t>
  </si>
  <si>
    <t>herbert.cordova@outlook.com</t>
  </si>
  <si>
    <t>JEFE DE OFICINA TECNICA</t>
  </si>
  <si>
    <t>42313190</t>
  </si>
  <si>
    <t>CUBA DUEÑAS EDITH PAMELA</t>
  </si>
  <si>
    <t>pamela.cuba@outlook.com</t>
  </si>
  <si>
    <t xml:space="preserve">Av. Calle Emilio Barclay Cerveceros Dpto 501 Lt 10 </t>
  </si>
  <si>
    <t>41930002</t>
  </si>
  <si>
    <t>DEL CASTILLO ZEGARRA, CRISTHIAN ALBERTO</t>
  </si>
  <si>
    <t>cristhiandz1@hotmail.com</t>
  </si>
  <si>
    <t xml:space="preserve">URB QUISPICANCHI E-15 </t>
  </si>
  <si>
    <t>71956049</t>
  </si>
  <si>
    <t xml:space="preserve">DUARTE DI ROSA ANGELO JESUS ISMAEL </t>
  </si>
  <si>
    <t>angello.drs@gamil.com</t>
  </si>
  <si>
    <t>ADMINISTRADOR DE CONTRATO SENIOR</t>
  </si>
  <si>
    <t xml:space="preserve">JR. BUEN RETIRO 209 DPT. 402 URB. FUNDO MONTERRICO CHICO </t>
  </si>
  <si>
    <t>45281542</t>
  </si>
  <si>
    <t xml:space="preserve">DURAND LOPEZ WILBER HUMBERTO </t>
  </si>
  <si>
    <t xml:space="preserve">humbertodurandlopez@gmail.com </t>
  </si>
  <si>
    <t xml:space="preserve">ARQUITECTO DE OFICINA TECNICA </t>
  </si>
  <si>
    <t xml:space="preserve">ASENT. H. ENRIQUE MONTENEGRO MZ. O1 LT 13 </t>
  </si>
  <si>
    <t>73128717</t>
  </si>
  <si>
    <t xml:space="preserve">ENRIQUEZ ECHE LUIS ANGEL THOMAS </t>
  </si>
  <si>
    <t>luis.enriquez@pucp.pe</t>
  </si>
  <si>
    <t>INGENIERO DE OFICINA TECNICA</t>
  </si>
  <si>
    <t xml:space="preserve">CIUDAD DEL PESCADOR MZ Q 2 LT 37 </t>
  </si>
  <si>
    <t xml:space="preserve">BELLAVISTA </t>
  </si>
  <si>
    <t>77388255</t>
  </si>
  <si>
    <t xml:space="preserve">ESCUDERO DULANTO CAMILA </t>
  </si>
  <si>
    <t>cescuderod1996@gmail.com</t>
  </si>
  <si>
    <t xml:space="preserve">AV. UGARTE Y MOSCOSO 1149 </t>
  </si>
  <si>
    <t xml:space="preserve">SAN ISIDRO </t>
  </si>
  <si>
    <t>40239456</t>
  </si>
  <si>
    <t>ESPINOZA BENITES FERNANDO JESUS</t>
  </si>
  <si>
    <t>fespinoza@consorciosrt.com</t>
  </si>
  <si>
    <t xml:space="preserve">AV. MERINO REYNA N° 199 </t>
  </si>
  <si>
    <t>42866876</t>
  </si>
  <si>
    <t xml:space="preserve">FLORES BRICEÑO RODOLFO EDMUNDO </t>
  </si>
  <si>
    <t xml:space="preserve">rodolfoflores_1985@hotmail.com </t>
  </si>
  <si>
    <t xml:space="preserve">TOPOGRAFO </t>
  </si>
  <si>
    <t xml:space="preserve">MZ. N LT 13 ASENT. H. CONSUELO VELASCO </t>
  </si>
  <si>
    <t>70652071</t>
  </si>
  <si>
    <t xml:space="preserve">FLORES CABRERA CARLOS EDUARDO </t>
  </si>
  <si>
    <t xml:space="preserve">facabrera.carlos@gmail.com </t>
  </si>
  <si>
    <t xml:space="preserve">URB. VELASCO ASTETE F-7 </t>
  </si>
  <si>
    <t>78019311</t>
  </si>
  <si>
    <t xml:space="preserve">FLORES QUISPE MOISES </t>
  </si>
  <si>
    <t xml:space="preserve">moi131219@gmail.com </t>
  </si>
  <si>
    <t xml:space="preserve">CALLE WAKANKI S/N </t>
  </si>
  <si>
    <t xml:space="preserve">MACHUPICCHU </t>
  </si>
  <si>
    <t>75997957</t>
  </si>
  <si>
    <t>FUENTES VALDIVIA VALERIA CECILIA</t>
  </si>
  <si>
    <t>valeria.cecilia.fuentes.valdivia@gmail.com</t>
  </si>
  <si>
    <t>INGENIERO DE CONTROL DE PROYECTOS</t>
  </si>
  <si>
    <t xml:space="preserve">GERENCIA </t>
  </si>
  <si>
    <t xml:space="preserve">CALLLE 1RO DE MAYO K9 URB. MIRAMAR </t>
  </si>
  <si>
    <t xml:space="preserve">MOLLENDO </t>
  </si>
  <si>
    <t xml:space="preserve">ISLAY </t>
  </si>
  <si>
    <t>70097260</t>
  </si>
  <si>
    <t>GONZALES  QUISPE ERWIN JURGEN</t>
  </si>
  <si>
    <t>egonzales@consorciosrt.com</t>
  </si>
  <si>
    <t>ASISTENTE DE INSTALACIONES</t>
  </si>
  <si>
    <t xml:space="preserve">CALLE OLLANTA 308 </t>
  </si>
  <si>
    <t xml:space="preserve">CALCA </t>
  </si>
  <si>
    <t>71835026</t>
  </si>
  <si>
    <t xml:space="preserve">GONZALES CUEVA ELIO ANDRE </t>
  </si>
  <si>
    <t xml:space="preserve">elioandre95@hotmail.com </t>
  </si>
  <si>
    <t xml:space="preserve">CALLE RIO AMAZONAS N° 252 </t>
  </si>
  <si>
    <t>71053253</t>
  </si>
  <si>
    <t>GONZALES GUERRA PAUL BRANDO</t>
  </si>
  <si>
    <t>inggonzales09@gmail.com</t>
  </si>
  <si>
    <t xml:space="preserve">JR REVOLUCION 712 </t>
  </si>
  <si>
    <t>40024810</t>
  </si>
  <si>
    <t xml:space="preserve">GONZALES QUISPE RAUL CESAR </t>
  </si>
  <si>
    <t>raul_gonzales2007@hotmail.com</t>
  </si>
  <si>
    <t xml:space="preserve">JEFE DE TOPOGRAFIA </t>
  </si>
  <si>
    <t>MZ I LT 5 UNIDAD INMOBILIARIA 4 GRUPO 7 SECTOR 1</t>
  </si>
  <si>
    <t>76808184</t>
  </si>
  <si>
    <t>GUEVARA ARPAZI ADRIAN MAURICIO</t>
  </si>
  <si>
    <t>adrianz1217@gmail.com</t>
  </si>
  <si>
    <t>INGENIERO DE PLANEAMIENTO</t>
  </si>
  <si>
    <t xml:space="preserve">AV RAFAEL ESCARDO 620 DPTO 1302  </t>
  </si>
  <si>
    <t xml:space="preserve">SAN MIGUEL </t>
  </si>
  <si>
    <t>44404393</t>
  </si>
  <si>
    <t>GUTIERREZ BOCANGEL, MELISSA</t>
  </si>
  <si>
    <t>mellgutboc@gmail.com</t>
  </si>
  <si>
    <t>AUXILIAR DE RECURSOS HUMANOS</t>
  </si>
  <si>
    <t>URB KANTU MZ A LT 24</t>
  </si>
  <si>
    <t>42269166</t>
  </si>
  <si>
    <t xml:space="preserve">GUZMAN CANDUELAS MARIO </t>
  </si>
  <si>
    <t>mguzman@consorciosrt.com</t>
  </si>
  <si>
    <t>JEFE DE ESPECIALIDADES</t>
  </si>
  <si>
    <t xml:space="preserve">JR BAMBAS N° 451 INT 203A </t>
  </si>
  <si>
    <t>71776871</t>
  </si>
  <si>
    <t>HERRERA VASQUEZ JUAN DANILSON</t>
  </si>
  <si>
    <t>jdherrera@consorciosrt.com</t>
  </si>
  <si>
    <t xml:space="preserve">ASISTENTE BIM </t>
  </si>
  <si>
    <t xml:space="preserve">CALLE RIO MOCHE 208 </t>
  </si>
  <si>
    <t>44148407</t>
  </si>
  <si>
    <t>HONKE GUIVAR CRISTIAN KAREL</t>
  </si>
  <si>
    <t>ckhonke@gmail.com</t>
  </si>
  <si>
    <t>ESPECIALISTA MECANICO Y ELECTRICO</t>
  </si>
  <si>
    <t>CALLE CAMPO ENSAYO 05</t>
  </si>
  <si>
    <t>PUCALA</t>
  </si>
  <si>
    <t xml:space="preserve">CHICLAYO </t>
  </si>
  <si>
    <t xml:space="preserve">LAMBAYEQUE </t>
  </si>
  <si>
    <t>77041532</t>
  </si>
  <si>
    <t>HUANCA GUZMAN LEIDY VANEZA</t>
  </si>
  <si>
    <t xml:space="preserve">leidyvanezaguzmanhuanca@gmail.com </t>
  </si>
  <si>
    <t xml:space="preserve">JR. COM CONCHACALLA SECTOR MARQUESBAMBA </t>
  </si>
  <si>
    <t>77294108</t>
  </si>
  <si>
    <t>xp_kevin@hotmail.es</t>
  </si>
  <si>
    <t xml:space="preserve">PSJ EL ALAMO 167 </t>
  </si>
  <si>
    <t xml:space="preserve">SAN VICEENE </t>
  </si>
  <si>
    <t xml:space="preserve">CAÑETE </t>
  </si>
  <si>
    <t>3684805</t>
  </si>
  <si>
    <t xml:space="preserve">HURTADO ACHAHUI RICHARD </t>
  </si>
  <si>
    <t xml:space="preserve">richardhurtado0401@gmail.com </t>
  </si>
  <si>
    <t>APV LOS PINOS B-4</t>
  </si>
  <si>
    <t>40865995</t>
  </si>
  <si>
    <t xml:space="preserve">IMA HUANCA WILBER </t>
  </si>
  <si>
    <t>wrd_7@hotmail.com</t>
  </si>
  <si>
    <t>AV COLLASUYO URB 1RO DE MAYO MZ A LT 7</t>
  </si>
  <si>
    <t>76123168</t>
  </si>
  <si>
    <t xml:space="preserve">JAIME EUGENIO JAHIR JESUS ARMANDO </t>
  </si>
  <si>
    <t xml:space="preserve">jahir123@gmail.com </t>
  </si>
  <si>
    <t xml:space="preserve">BOSQUE A7, N°409 URBANIZACION VECINAL MARISCAL GAMARRA </t>
  </si>
  <si>
    <t>46697735</t>
  </si>
  <si>
    <t xml:space="preserve">JALIXTO CHAIÑA BRAMY </t>
  </si>
  <si>
    <t xml:space="preserve">bjingemiero@gmail.com </t>
  </si>
  <si>
    <t xml:space="preserve">SAN ANDRES LOTE A - 15 </t>
  </si>
  <si>
    <t xml:space="preserve">SICUANO </t>
  </si>
  <si>
    <t>43770516</t>
  </si>
  <si>
    <t xml:space="preserve">JIMENEZ MOREANO JURGUEN </t>
  </si>
  <si>
    <t>jurgenjjm@gmail.com</t>
  </si>
  <si>
    <t>INGENIERO DE COMUNICACIONES TIC</t>
  </si>
  <si>
    <t>URB. ZAGUAN DEL CIELO MZ 0 LT 22-A</t>
  </si>
  <si>
    <t>70243974</t>
  </si>
  <si>
    <t>LABRA VARGAS WALDIR BRAYAN</t>
  </si>
  <si>
    <t>wlabra@consorciosrt.com</t>
  </si>
  <si>
    <t>ASISTENTE CONTABILIDAD</t>
  </si>
  <si>
    <t>CONTABILIDAD</t>
  </si>
  <si>
    <t xml:space="preserve">COMUNIDAD CAMPESINA COMPONE S/N </t>
  </si>
  <si>
    <t>72661574</t>
  </si>
  <si>
    <t xml:space="preserve">LAGUNA LEYVA YAZAN´S NAVIL </t>
  </si>
  <si>
    <t xml:space="preserve">yazanslaguna@gmail.com </t>
  </si>
  <si>
    <t xml:space="preserve">MZ. D LT 28 PROG VIV. MONTE AZUL II </t>
  </si>
  <si>
    <t>44975389</t>
  </si>
  <si>
    <t xml:space="preserve">LAURA ROBLES ALDO FRANZ </t>
  </si>
  <si>
    <t>aldolaurarobles@gmail.com</t>
  </si>
  <si>
    <t xml:space="preserve">ASISTENTE TI </t>
  </si>
  <si>
    <t xml:space="preserve">APV. VILLA SANTA BEATRIZ A-14 </t>
  </si>
  <si>
    <t>markoleon2014@gmail.com</t>
  </si>
  <si>
    <t xml:space="preserve">URB LA CRUCETA ETAPA 2 N° 25 DPTO 302 </t>
  </si>
  <si>
    <t>74746334</t>
  </si>
  <si>
    <t>LETONA QUISPE CARLOS ANDRES</t>
  </si>
  <si>
    <t>carlos.letona.q@gmail.com</t>
  </si>
  <si>
    <t>CALLE 70 URB. PACHACAMAC BARRIO 1 SECT I MZ F LT 21</t>
  </si>
  <si>
    <t xml:space="preserve">VILLAEL SALVADOR </t>
  </si>
  <si>
    <t>45044315</t>
  </si>
  <si>
    <t>LEZAMA CACERES ANGELA MARIA</t>
  </si>
  <si>
    <t>alezamac9@gmail.com</t>
  </si>
  <si>
    <t>RELACIONISTA COMUNITARIA JUNIOR</t>
  </si>
  <si>
    <t xml:space="preserve">CONDOMINIO APROVICOP DPTO F 202 SANTA LUCIA </t>
  </si>
  <si>
    <t xml:space="preserve">70223480 </t>
  </si>
  <si>
    <t xml:space="preserve">LOPEZ CARRASCO MELVIN </t>
  </si>
  <si>
    <t xml:space="preserve">melvyn.lc@gmail.com </t>
  </si>
  <si>
    <t>AUXILIAR DE CONTABILIDAD</t>
  </si>
  <si>
    <t xml:space="preserve">CALLE TUPAC KATARI V-10 </t>
  </si>
  <si>
    <t>42807835</t>
  </si>
  <si>
    <t>LOPEZ SIGÜENZA DANNY RAUL</t>
  </si>
  <si>
    <t>drlopez@consorciosrt.com</t>
  </si>
  <si>
    <t>COMPRADOR ALMACENERO</t>
  </si>
  <si>
    <t>CA. ATAHUALLPA N° 654 - RIO SECO</t>
  </si>
  <si>
    <t xml:space="preserve">EL PORVENIR </t>
  </si>
  <si>
    <t xml:space="preserve">TRUJILLO </t>
  </si>
  <si>
    <t xml:space="preserve">LA LIBERTAD </t>
  </si>
  <si>
    <t>rolopez7919@gmail.com</t>
  </si>
  <si>
    <t xml:space="preserve">JR LOS DIAMANTES 365 SNTA INES DPTO 301 </t>
  </si>
  <si>
    <t>42376589</t>
  </si>
  <si>
    <t>LUCANA LETONA MARIA ESTHER</t>
  </si>
  <si>
    <t>mellqui29@gmail.com</t>
  </si>
  <si>
    <t>SUPERVISORA DE SSOMA</t>
  </si>
  <si>
    <t xml:space="preserve">APV SANTA ANA PARQUE TRISTAN E-2 </t>
  </si>
  <si>
    <t>77423380</t>
  </si>
  <si>
    <t xml:space="preserve">LUNA PIÑA JUNIOR NICANOR </t>
  </si>
  <si>
    <t xml:space="preserve">jluna4det@gmail.com </t>
  </si>
  <si>
    <t xml:space="preserve">INGENIERO DE VALORIZACION Y FACTURACION </t>
  </si>
  <si>
    <t xml:space="preserve">AV. MORALES DUAREZ 672 PISO 3 </t>
  </si>
  <si>
    <t xml:space="preserve">REYNOSO </t>
  </si>
  <si>
    <t xml:space="preserve">CARMEN DE LA LEGUA </t>
  </si>
  <si>
    <t>73080682</t>
  </si>
  <si>
    <t>MAMANI QUISPE, ALVARO ANGEL</t>
  </si>
  <si>
    <t>albaro123black@gmail.com</t>
  </si>
  <si>
    <t xml:space="preserve">JR ABRAHAM VALDEROMAR 238 </t>
  </si>
  <si>
    <t>70303371</t>
  </si>
  <si>
    <t xml:space="preserve">MANCO RAMOS JESUS CHRISTIAN ANTONIO </t>
  </si>
  <si>
    <t xml:space="preserve">arq.mancoramos@gmail.com </t>
  </si>
  <si>
    <t xml:space="preserve">AV. PANAMERICANA SUR 305  </t>
  </si>
  <si>
    <t>MALA</t>
  </si>
  <si>
    <t>48037224</t>
  </si>
  <si>
    <t>MARQUEZ HUIÑOCANA WIBERT</t>
  </si>
  <si>
    <t xml:space="preserve">wmarquezhuinocana@gmail.com </t>
  </si>
  <si>
    <t xml:space="preserve">ASOC. P.V. VIRGEN CONCEPCION MZ X LT 1 </t>
  </si>
  <si>
    <t>45639361</t>
  </si>
  <si>
    <t>MARQUEZ QUENTA DANITZA ISABEL</t>
  </si>
  <si>
    <t>danitza.imq@gmail.com</t>
  </si>
  <si>
    <t xml:space="preserve">JEFE DE OFICIANA TECNICA </t>
  </si>
  <si>
    <t xml:space="preserve">ARQUITECTURA </t>
  </si>
  <si>
    <t xml:space="preserve">MZ C LT 35 CH MICAELA BASTIDAS I ETAPA  </t>
  </si>
  <si>
    <t>44382480</t>
  </si>
  <si>
    <t xml:space="preserve">MARTINEZ CARBAJAL TULIO ALEXANDER </t>
  </si>
  <si>
    <t>tmartinez2106@gmail.com</t>
  </si>
  <si>
    <t>GERENTE TECNICO</t>
  </si>
  <si>
    <t xml:space="preserve">JR CORPANCHO 180 TORRE B DPTO 202 URB TEJADITA </t>
  </si>
  <si>
    <t>71864024</t>
  </si>
  <si>
    <t xml:space="preserve">MAYTA CUTI ADELINDA </t>
  </si>
  <si>
    <t xml:space="preserve">maytacutia@gmail.com </t>
  </si>
  <si>
    <t xml:space="preserve">AUXILIAR ADMINISTRATIVO </t>
  </si>
  <si>
    <t xml:space="preserve">CCACCACCOLLO S/N  </t>
  </si>
  <si>
    <t xml:space="preserve">TARAY </t>
  </si>
  <si>
    <t>43541234</t>
  </si>
  <si>
    <t xml:space="preserve">MAYTAHUARI JARAMILLO EVELIES FRANS </t>
  </si>
  <si>
    <t xml:space="preserve">frans_mj@outlook.com </t>
  </si>
  <si>
    <t xml:space="preserve">SUPERVISOR DE DRYWALL </t>
  </si>
  <si>
    <t xml:space="preserve">SECTOR 6  GRUPO 2 MZ. H LT. 2 </t>
  </si>
  <si>
    <t>vimesal@hotmail.com</t>
  </si>
  <si>
    <t xml:space="preserve">ALBERTO DEL CAMPO 411 INT 402 </t>
  </si>
  <si>
    <t xml:space="preserve">MAGDALENA DEL MAR </t>
  </si>
  <si>
    <t>43760751</t>
  </si>
  <si>
    <t>MORVELI SACSE HENDER JOSE</t>
  </si>
  <si>
    <t xml:space="preserve">henderjosemorveli86@gmail.com </t>
  </si>
  <si>
    <t xml:space="preserve">APV. HUAYNA PICOL G-9-1 </t>
  </si>
  <si>
    <t>45877652</t>
  </si>
  <si>
    <t>MUCHARI AGUILAR MILKOR BRAHMS</t>
  </si>
  <si>
    <t>milkor.muagui@gmail.com</t>
  </si>
  <si>
    <t>Jr. 28 de Julio N°310 Dto 202</t>
  </si>
  <si>
    <t>f</t>
  </si>
  <si>
    <t>21443725</t>
  </si>
  <si>
    <t xml:space="preserve">MUÑOZ  MEJIA ARMANDO NATIVO </t>
  </si>
  <si>
    <t xml:space="preserve">armandomunosmejia@gmail.com </t>
  </si>
  <si>
    <t xml:space="preserve">MAESTRO DE OBRA </t>
  </si>
  <si>
    <t>MZ 55 LT 3 ASENT H. VICTOR RAUL HAYA DE LA TORRE</t>
  </si>
  <si>
    <t xml:space="preserve">HUANCHACO </t>
  </si>
  <si>
    <t>74208165</t>
  </si>
  <si>
    <t xml:space="preserve">MUÑOZ CABRERA VICTOR NAPOLEON </t>
  </si>
  <si>
    <t xml:space="preserve">napoleonmc98@gmail.com </t>
  </si>
  <si>
    <t xml:space="preserve">CALLE CACIQUE COLLIQUE 256 PISO 2 URB LATINA </t>
  </si>
  <si>
    <t xml:space="preserve">JOSE LEONARDO ORTIZ </t>
  </si>
  <si>
    <t>45147181</t>
  </si>
  <si>
    <t>NIETO MARTINEZ JAVIER ROBERTO</t>
  </si>
  <si>
    <t>javier.nieto1688@gmail.com</t>
  </si>
  <si>
    <t xml:space="preserve">AA.HH. ENRIQUE MILLA OCHOA MZ 80 LT 06 </t>
  </si>
  <si>
    <t>74355621</t>
  </si>
  <si>
    <t xml:space="preserve">OTAZU ONTON RONALDO </t>
  </si>
  <si>
    <t xml:space="preserve">ronaldootazu2@gmail.com </t>
  </si>
  <si>
    <t xml:space="preserve">APV. PARAISO DE FATIMA L 190 </t>
  </si>
  <si>
    <t>42233779</t>
  </si>
  <si>
    <t xml:space="preserve">PALACO PACHECO LLILIAN JUANA </t>
  </si>
  <si>
    <t xml:space="preserve">lilianpalaco@gmail.com </t>
  </si>
  <si>
    <t xml:space="preserve">URB. N.C.V. III EATAPA MZ X3 LT 17 </t>
  </si>
  <si>
    <t xml:space="preserve">SAN ROMAN </t>
  </si>
  <si>
    <t>40706226</t>
  </si>
  <si>
    <t xml:space="preserve">PALOMINO ARANDO NANCY </t>
  </si>
  <si>
    <t>napalomino@consorciosrt.com</t>
  </si>
  <si>
    <t>ESPECIALISTA BIOMEDICO</t>
  </si>
  <si>
    <t xml:space="preserve">MISTI 133 DPTO 205 </t>
  </si>
  <si>
    <t>44340153</t>
  </si>
  <si>
    <t xml:space="preserve">PALOMINO COLQUE LEONEL </t>
  </si>
  <si>
    <t>leopece7@gmail.com</t>
  </si>
  <si>
    <t>AUXILIAR DE SUBCONTRATOS</t>
  </si>
  <si>
    <t>SUBCONTRATOS</t>
  </si>
  <si>
    <t>AV. GRAU 1025</t>
  </si>
  <si>
    <t>72851334</t>
  </si>
  <si>
    <t xml:space="preserve">PALOMINO QUISPE PAULO JHENRY </t>
  </si>
  <si>
    <t xml:space="preserve">jhenrypalomino22@gmail.com </t>
  </si>
  <si>
    <t xml:space="preserve">JR. ARICA 518 BARRIO TUPAC AMARU </t>
  </si>
  <si>
    <t xml:space="preserve">MACUSANI </t>
  </si>
  <si>
    <t xml:space="preserve">CARBAYA </t>
  </si>
  <si>
    <t>74307480</t>
  </si>
  <si>
    <t xml:space="preserve">PANIAGUA MAMANI MARI CARMEN </t>
  </si>
  <si>
    <t>44146934</t>
  </si>
  <si>
    <t xml:space="preserve">PAREDES VERA AMADEO </t>
  </si>
  <si>
    <t xml:space="preserve">amadeo12_24@hotmail.com </t>
  </si>
  <si>
    <t xml:space="preserve">TECNICO DE MANTENIMIENTO </t>
  </si>
  <si>
    <t xml:space="preserve">PSJ 2 MZ LT 12 ASOC ASENTAMIENTYO HUAMANO JIREH ZONA 5 </t>
  </si>
  <si>
    <t xml:space="preserve">PACHACAMAC </t>
  </si>
  <si>
    <t>73682375</t>
  </si>
  <si>
    <t xml:space="preserve">PAREJA PONCE DE LEON NICOLE ANGELA </t>
  </si>
  <si>
    <t xml:space="preserve">angela.2001.nicole@outlook.es </t>
  </si>
  <si>
    <t xml:space="preserve">PARQUE INDUSTRIAL AV. KAS AMERICAS H-15 -A </t>
  </si>
  <si>
    <t>41630934</t>
  </si>
  <si>
    <t xml:space="preserve">PASTOR SALCEDO RAUL </t>
  </si>
  <si>
    <t xml:space="preserve">rpastor2702@gmail.com </t>
  </si>
  <si>
    <t xml:space="preserve">AV. CIRCUNVALACION DEL GOLF 951 URB CLUB LOS INCAS </t>
  </si>
  <si>
    <t>73585796</t>
  </si>
  <si>
    <t>PAUCCAR QUISPE WASHINTON MARCO</t>
  </si>
  <si>
    <t>washintonpauccarquispe@gmail.com</t>
  </si>
  <si>
    <t>TOPOGRAFIA</t>
  </si>
  <si>
    <t>COM KENKO</t>
  </si>
  <si>
    <t xml:space="preserve">COYYA </t>
  </si>
  <si>
    <t>44645444</t>
  </si>
  <si>
    <t>PERCCA CARBAJAL REYNALDO JUNIOR</t>
  </si>
  <si>
    <t>r_percca_c@hotmail.com</t>
  </si>
  <si>
    <t>EXPERTO MEDIOAMBIENTAL</t>
  </si>
  <si>
    <t>LEED</t>
  </si>
  <si>
    <t xml:space="preserve">CALLE LOS HALCONES URB. LIMATAMBO N° 668 DPTO 704 </t>
  </si>
  <si>
    <t xml:space="preserve">SURQUILLO </t>
  </si>
  <si>
    <t>47462365</t>
  </si>
  <si>
    <t xml:space="preserve">PEÑA PALOMINO PERCY </t>
  </si>
  <si>
    <t>percypenapalomino193.6@gmail.com</t>
  </si>
  <si>
    <t>SIHUINA S/N</t>
  </si>
  <si>
    <t xml:space="preserve">ACCHA </t>
  </si>
  <si>
    <t xml:space="preserve">PARURO </t>
  </si>
  <si>
    <t>45376362</t>
  </si>
  <si>
    <t xml:space="preserve">PINEDO CARRION WILDER </t>
  </si>
  <si>
    <t>wilderpinedoc@gmail.com</t>
  </si>
  <si>
    <t xml:space="preserve">JR APURIMAC  192 DISTRITO DE SANTA ANA </t>
  </si>
  <si>
    <t xml:space="preserve">LA CONVENCION </t>
  </si>
  <si>
    <t>41338725</t>
  </si>
  <si>
    <t xml:space="preserve">PIÑARREAL LAIME CARMEN </t>
  </si>
  <si>
    <t>rreallaime@gmail.com</t>
  </si>
  <si>
    <t xml:space="preserve">JR ATAHUALLPA INT X </t>
  </si>
  <si>
    <t>71775918</t>
  </si>
  <si>
    <t xml:space="preserve">POMA CCOICCA YELENA BEYSI </t>
  </si>
  <si>
    <t>yelenabp74@gmail.com</t>
  </si>
  <si>
    <t xml:space="preserve">ASENT. H. HEROES DEL CENEPA MZ. R LT. 17 </t>
  </si>
  <si>
    <t xml:space="preserve">VENTANILLA </t>
  </si>
  <si>
    <t>48331244</t>
  </si>
  <si>
    <t>PONCE SERMEÑO JOEL HERMINIO</t>
  </si>
  <si>
    <t>joelponce93@gmail.com</t>
  </si>
  <si>
    <t>INGENIERO DE CALIAD</t>
  </si>
  <si>
    <t xml:space="preserve">JR. MALAMBO S/N </t>
  </si>
  <si>
    <t>OMAS</t>
  </si>
  <si>
    <t xml:space="preserve">YAUYOS </t>
  </si>
  <si>
    <t>23865430</t>
  </si>
  <si>
    <t>PORTUGAL MORALES WENSESLAO</t>
  </si>
  <si>
    <t>wencepm7@hotmail.com</t>
  </si>
  <si>
    <t xml:space="preserve">JR WASHINTONG N° 1612 </t>
  </si>
  <si>
    <t>CERCADO DE LIMA</t>
  </si>
  <si>
    <t>46565486</t>
  </si>
  <si>
    <t xml:space="preserve">PRIETO RUIZ DEIVIS JHON </t>
  </si>
  <si>
    <t>jhondey1515@gmail.com</t>
  </si>
  <si>
    <t>CALLE MARIANO MELGAR 232 ASENT H. SANTA TERESITA</t>
  </si>
  <si>
    <t xml:space="preserve">PUMA PAREDES JUSTINO </t>
  </si>
  <si>
    <t>70266986</t>
  </si>
  <si>
    <t>QUIÑONES OBREGON MARIAN SOFIA</t>
  </si>
  <si>
    <t>marian1799@hotmail.com</t>
  </si>
  <si>
    <t xml:space="preserve">CALLE ALFA N° F79 URB JUAN XXIII </t>
  </si>
  <si>
    <t>SAN BORJA</t>
  </si>
  <si>
    <t>73464558-1</t>
  </si>
  <si>
    <t>QUISPE CABRERA KAROL</t>
  </si>
  <si>
    <t>karlqqcc@gmail.com</t>
  </si>
  <si>
    <t>URB MANANTIALES JR  30 DE AGOSTO</t>
  </si>
  <si>
    <t>73464558</t>
  </si>
  <si>
    <t xml:space="preserve">QUISPE CABRERA KAROL </t>
  </si>
  <si>
    <t xml:space="preserve">ASISTENTE DE TOPOGRAFIA </t>
  </si>
  <si>
    <t>46800293</t>
  </si>
  <si>
    <t xml:space="preserve">RAMIREZ SANGUINETTI SYLVIO </t>
  </si>
  <si>
    <t>sylviosanguinetti@gmai.com</t>
  </si>
  <si>
    <t xml:space="preserve">ASOC. DE VIVIENDA EL BUEN SAMARITANO MZ. A LT.5 LOMO DE CORVINA </t>
  </si>
  <si>
    <t>70032037</t>
  </si>
  <si>
    <t xml:space="preserve">RAMOS AYMA YURI BRYAN </t>
  </si>
  <si>
    <t xml:space="preserve">aymabryaan@gmail.com </t>
  </si>
  <si>
    <t xml:space="preserve">CALLE NAZCA T-9 COMITÉ 8 APV. LOS INKAS </t>
  </si>
  <si>
    <t>48080673</t>
  </si>
  <si>
    <t xml:space="preserve">REA ABAD OLGA </t>
  </si>
  <si>
    <t>olgareaa2084@gmail.com</t>
  </si>
  <si>
    <t xml:space="preserve">ENFERMERA OCUPACIONAL </t>
  </si>
  <si>
    <t>CALLE 31 ASENT.H. JUAN PABLO II DE CANTO GRANDE MZ Z LT 03</t>
  </si>
  <si>
    <t>73304820</t>
  </si>
  <si>
    <t>RENTERIA JUAREZ RUTH ELOISA</t>
  </si>
  <si>
    <t xml:space="preserve">renteria0404@gmail.com </t>
  </si>
  <si>
    <t>CASERIO OCOTO ALTO MZ X LT 47</t>
  </si>
  <si>
    <t xml:space="preserve">TAMBO GRANDE </t>
  </si>
  <si>
    <t>48031810</t>
  </si>
  <si>
    <t>RODRIGUEZ CORONEL MIGUEL ANGEL</t>
  </si>
  <si>
    <t>ma.rodriguezcoronel@gmail.com</t>
  </si>
  <si>
    <t xml:space="preserve">CALLE LOS GLADIOLOS 229 URB LOS APRQUES </t>
  </si>
  <si>
    <t>46477353</t>
  </si>
  <si>
    <t>RODRIGUEZ NEYRA HIBETH DAYSI</t>
  </si>
  <si>
    <t>hibethrodriguezneyra@gmail.com</t>
  </si>
  <si>
    <t xml:space="preserve">ASOC. VIV. HORACIO ZAVALLOS MZ B LT 11 </t>
  </si>
  <si>
    <t xml:space="preserve">PUENTE PIEDRA </t>
  </si>
  <si>
    <t>41811476</t>
  </si>
  <si>
    <t>ROMANI CABALLERO DANIEL EMANUEL</t>
  </si>
  <si>
    <t xml:space="preserve"> daniel.romani.caballero@gmail.com</t>
  </si>
  <si>
    <t>GERENTE LAST PLANNER SYSTEM</t>
  </si>
  <si>
    <t xml:space="preserve">CALLE BILBAO 135 DPTO 401 URB MAYORAZGO 1 ETAPA </t>
  </si>
  <si>
    <t xml:space="preserve">41148660 </t>
  </si>
  <si>
    <t xml:space="preserve">ROMERO LOPEZ PETER JOHN </t>
  </si>
  <si>
    <t>peter.arquitectura@gmail.com</t>
  </si>
  <si>
    <t xml:space="preserve">ARQUITECTO DE PRODUCCION </t>
  </si>
  <si>
    <t xml:space="preserve">PSJ MACHU PICHU R-1-26 4TO PARADERO TTIO </t>
  </si>
  <si>
    <t>73083137</t>
  </si>
  <si>
    <t>ROMERO VALER HAZLITT JOHEL</t>
  </si>
  <si>
    <t>jhoelromero1996@gmail.com</t>
  </si>
  <si>
    <t>RELACIONISTA LABORAL</t>
  </si>
  <si>
    <t xml:space="preserve">URB CONSTRUCCION CIVIL C-3 </t>
  </si>
  <si>
    <t>47299730</t>
  </si>
  <si>
    <t xml:space="preserve">SAAVEDRA BAYONA OSWALDO DANIEL </t>
  </si>
  <si>
    <t>osaavedra@pucp.pe</t>
  </si>
  <si>
    <t>INGENIERO ESTRUCTURAL</t>
  </si>
  <si>
    <t>URB IGNACION MERINO I ETAA MZ D1 LT 19</t>
  </si>
  <si>
    <t>45905512</t>
  </si>
  <si>
    <t>SAENZ RAMIREZ, ARLINGTHON KENNETH</t>
  </si>
  <si>
    <t>kennethsr22@gmail.com</t>
  </si>
  <si>
    <t>ARQUITECTO DE PRODUCCION</t>
  </si>
  <si>
    <t xml:space="preserve">URB MAYORAZGO CHICO </t>
  </si>
  <si>
    <t xml:space="preserve">ATE </t>
  </si>
  <si>
    <t xml:space="preserve">SAICO QUISPE BRYANT KEVIN </t>
  </si>
  <si>
    <t>73252745</t>
  </si>
  <si>
    <t xml:space="preserve">SALAS HUAMBO MIGUEL JUNIOR </t>
  </si>
  <si>
    <t xml:space="preserve">migueljuniorsalashuambo61@gmail.com </t>
  </si>
  <si>
    <t xml:space="preserve">ASOC. PROV. VIV. SAN ANTONIO MZ. J-7 LT 8 </t>
  </si>
  <si>
    <t>73803412</t>
  </si>
  <si>
    <t>SALAZAR LUQUE JHOEL IVAN</t>
  </si>
  <si>
    <t>jsalazarl0396@gmail.com</t>
  </si>
  <si>
    <t xml:space="preserve">AV. OSCAR R. BENAVIDES 3008 DPTO 1201 BLOCK I - OLIVO </t>
  </si>
  <si>
    <t>46335569</t>
  </si>
  <si>
    <t>SALAZAR TELLO ALBERTO WILDER</t>
  </si>
  <si>
    <t>awilder.st@gmail.com</t>
  </si>
  <si>
    <t>COSTO</t>
  </si>
  <si>
    <t xml:space="preserve">JR TUPAC AMARU 115 ASOC SAN JUANITO </t>
  </si>
  <si>
    <t>47821383</t>
  </si>
  <si>
    <t xml:space="preserve">SANCHEZ HUAMANI YASER </t>
  </si>
  <si>
    <t>omarsanchezh8@gmail.com</t>
  </si>
  <si>
    <t xml:space="preserve">JR LLOQUE YUPANQUI S/N BARRIO SAN CRISTOBAL </t>
  </si>
  <si>
    <t xml:space="preserve">HUANCAVELICA </t>
  </si>
  <si>
    <t>HUANCAVELICA</t>
  </si>
  <si>
    <t>72625880</t>
  </si>
  <si>
    <t>SANTA CRUZ BORDA, LUIS CARLOS</t>
  </si>
  <si>
    <t>lcsantacruzb@gmail.com</t>
  </si>
  <si>
    <t xml:space="preserve">APV EL EDEN MZ B LT 4 </t>
  </si>
  <si>
    <t>41531855</t>
  </si>
  <si>
    <t>SANTANDER ZUAREZ JOSE DARIO</t>
  </si>
  <si>
    <t>frontier_1306@hotmail.com</t>
  </si>
  <si>
    <t>CONDUCTOR DE AMBULANCIA</t>
  </si>
  <si>
    <t xml:space="preserve">CALLE CUSCO S/N </t>
  </si>
  <si>
    <t>40368756</t>
  </si>
  <si>
    <t>SARDON HUAYNA FREDY</t>
  </si>
  <si>
    <t>fredysardon@hotmail.com</t>
  </si>
  <si>
    <t xml:space="preserve">JR LAS PALMERAS C-12 </t>
  </si>
  <si>
    <t xml:space="preserve">LAS JOYAS </t>
  </si>
  <si>
    <t>45564305</t>
  </si>
  <si>
    <t>SEGURA GOMEZ DE LA BARRA CARLOS GUILLERMO</t>
  </si>
  <si>
    <t>c.segura.gb@gmail.com</t>
  </si>
  <si>
    <t>JEFE DE PLANEAMIENTO Y PROGRAMACION</t>
  </si>
  <si>
    <t xml:space="preserve">URB ALTO DE DLA LUNA D7 IV ETAPA JOSE LUIS BUSTAMANTE Y RIVERO </t>
  </si>
  <si>
    <t>75751026</t>
  </si>
  <si>
    <t>SERRANO VALDEIGLESIAS, FABIAN AUGUSTO</t>
  </si>
  <si>
    <t>fabian230209@gmail.com</t>
  </si>
  <si>
    <t xml:space="preserve">URB TTIO V-4 </t>
  </si>
  <si>
    <t>40732802</t>
  </si>
  <si>
    <t xml:space="preserve">SUBAUSTE LOPEZ JORGE LUIS </t>
  </si>
  <si>
    <t xml:space="preserve">jorge.subauste@gmail.com </t>
  </si>
  <si>
    <t xml:space="preserve">INGENIERO DE PRODUCCION </t>
  </si>
  <si>
    <t xml:space="preserve">JR. RAMON CARCAMO 660 DPTO 1006 </t>
  </si>
  <si>
    <t>47816394</t>
  </si>
  <si>
    <t>TABOADA ALVARADO MAX ALEX</t>
  </si>
  <si>
    <t>mtaboada@consorciosrt.com</t>
  </si>
  <si>
    <t>INGENIERO DE CALIDAD ELECTROMECANICO</t>
  </si>
  <si>
    <t xml:space="preserve">AV CMP SAN JULIO MZ E LT 02 </t>
  </si>
  <si>
    <t>42238886</t>
  </si>
  <si>
    <t>TAPIA QUEZADA JOEL ANTONIO</t>
  </si>
  <si>
    <t>joel.tapia.2901@gmail.com</t>
  </si>
  <si>
    <t>Calle Ficus Asoc. Viv. Los Angeles del Naranjal Mz G Lt 18</t>
  </si>
  <si>
    <t>Carabayllo</t>
  </si>
  <si>
    <t>Lima</t>
  </si>
  <si>
    <t>40341301</t>
  </si>
  <si>
    <t>TEJADA PEREZ ROALD SAADI</t>
  </si>
  <si>
    <t>roald1979@gmail.com</t>
  </si>
  <si>
    <t xml:space="preserve">AV SAN BORJA NORTE 156 DPTO 202 </t>
  </si>
  <si>
    <t xml:space="preserve">SAN BORJA </t>
  </si>
  <si>
    <t>42239621</t>
  </si>
  <si>
    <t xml:space="preserve">TERRONES TANTALEAN JORGE </t>
  </si>
  <si>
    <t xml:space="preserve">jterrones8402@gmail.com </t>
  </si>
  <si>
    <t xml:space="preserve">CAPATAZ GENERAL DE OBRA </t>
  </si>
  <si>
    <t xml:space="preserve">SECTOR AZUNGUE S/N </t>
  </si>
  <si>
    <t xml:space="preserve">MOYOBAMBA </t>
  </si>
  <si>
    <t xml:space="preserve">SAN MARTIN </t>
  </si>
  <si>
    <t>74926305</t>
  </si>
  <si>
    <t xml:space="preserve">UTANI VELASQUE YANINA </t>
  </si>
  <si>
    <t>yaninauv7@gmail.com</t>
  </si>
  <si>
    <t xml:space="preserve">1 DE MAYO MZ. C LT 6 </t>
  </si>
  <si>
    <t xml:space="preserve">CHORILLOS </t>
  </si>
  <si>
    <t>76643706</t>
  </si>
  <si>
    <t xml:space="preserve">VALDIVIA PEDRAZA JESSICA ALEXANDRA </t>
  </si>
  <si>
    <t xml:space="preserve">jessialevaldped19@gmail.com </t>
  </si>
  <si>
    <t>ASENT. H. 15 DE SETIEMBRE MZ A LT 27</t>
  </si>
  <si>
    <t>75103880</t>
  </si>
  <si>
    <t xml:space="preserve">VARELA MUSAYON LEONARDO DYLAN </t>
  </si>
  <si>
    <t xml:space="preserve">leonardo.varmusa@gmail.com </t>
  </si>
  <si>
    <t>ESPECIALIDADES - SANITARIAS</t>
  </si>
  <si>
    <t xml:space="preserve">CALLE JOSE MARTI 400 </t>
  </si>
  <si>
    <t>LA ESPERANZA</t>
  </si>
  <si>
    <t>45022396</t>
  </si>
  <si>
    <t xml:space="preserve">VARGAS RAMOS JOSE MILTON </t>
  </si>
  <si>
    <t>jmilton.vargasr@gmail.com</t>
  </si>
  <si>
    <t>COORDINADOR DE INSTALACIONES</t>
  </si>
  <si>
    <t>AV. EMILIANO NIÑO MZ Z4 LOTE 11</t>
  </si>
  <si>
    <t>72904518</t>
  </si>
  <si>
    <t xml:space="preserve">VERA ZAVALA CRHISTIAN </t>
  </si>
  <si>
    <t>cvz183@gmail.com</t>
  </si>
  <si>
    <t>JEFE DE PRODUCCION</t>
  </si>
  <si>
    <t>JR. ZORRITOS N° 859</t>
  </si>
  <si>
    <t xml:space="preserve">BREÑA </t>
  </si>
  <si>
    <t>44019008</t>
  </si>
  <si>
    <t>VIDAURRE BANCES, EDGARD ABEL</t>
  </si>
  <si>
    <t>edgardvidaurre@gmail.com</t>
  </si>
  <si>
    <t>ARQUITECTO DE PROCURA</t>
  </si>
  <si>
    <t>CALLE LSO GERANIOS DPTO 501</t>
  </si>
  <si>
    <t>F</t>
  </si>
  <si>
    <t>73342752</t>
  </si>
  <si>
    <t>VILLA CALVET CESAR ALFREDO</t>
  </si>
  <si>
    <t>alfredos7@hotmail.com</t>
  </si>
  <si>
    <t xml:space="preserve">AV. RICARDO PALMA 103 UMACOLLO </t>
  </si>
  <si>
    <t>42231684</t>
  </si>
  <si>
    <t>VIZA SANCHEZ JORGE MANUEL</t>
  </si>
  <si>
    <t>jviza@consorciosrt.com</t>
  </si>
  <si>
    <t>COMMISSIONING MANAGER</t>
  </si>
  <si>
    <t xml:space="preserve">URB. SAN FRANCISCO DE CAYRAN TERCERA ETAPA MZ B2 LT 23 </t>
  </si>
  <si>
    <t>46601672</t>
  </si>
  <si>
    <t>VIZCARDO VILELA JHOEL JAMES</t>
  </si>
  <si>
    <t>jhoel9075@gmail.com</t>
  </si>
  <si>
    <t xml:space="preserve">CALLE 21 MZ. 67 LT 5 </t>
  </si>
  <si>
    <t>71209403</t>
  </si>
  <si>
    <t xml:space="preserve">YABAR VIZCARRA GABRIEL </t>
  </si>
  <si>
    <t xml:space="preserve">gabriel.yabar08@gmail.com </t>
  </si>
  <si>
    <t xml:space="preserve">AUXILIAR DE PRODUCCION </t>
  </si>
  <si>
    <t xml:space="preserve">PROLONG. JAVIER PRADO ESTE 1156 DPTO 301 </t>
  </si>
  <si>
    <t>72925645</t>
  </si>
  <si>
    <t xml:space="preserve">YAPIAS TORRES YERLY PAMELA </t>
  </si>
  <si>
    <t xml:space="preserve">yapiastorres@gmail.com </t>
  </si>
  <si>
    <t xml:space="preserve">JR. SECHURA 250 POETA JOSE GALVEZ </t>
  </si>
  <si>
    <t xml:space="preserve">VILLA MARAI DEL TRIUNFO </t>
  </si>
  <si>
    <t>40092509</t>
  </si>
  <si>
    <t>YATO BEGAZO AUGUSTO GUILLERMO</t>
  </si>
  <si>
    <t>guillermo.yato@gmail.com</t>
  </si>
  <si>
    <t xml:space="preserve">CALLE LAS SECOYAS 122 DPTO 302 URB. SIRIUS </t>
  </si>
  <si>
    <t>73631753</t>
  </si>
  <si>
    <t xml:space="preserve">ZAPATA VALENCIA MARIA ALEJANDRA </t>
  </si>
  <si>
    <t xml:space="preserve">m.alejandra.zvalencia@gmail.com </t>
  </si>
  <si>
    <t xml:space="preserve">COORDINADOR DE OBRA </t>
  </si>
  <si>
    <t xml:space="preserve">INT. B. ASENT H. 06 DE SETIEMBRE MZ G LT 02 </t>
  </si>
  <si>
    <t>76426008</t>
  </si>
  <si>
    <t xml:space="preserve">ZAVALA OSSIO YANELA ANTUANE </t>
  </si>
  <si>
    <t>yaneossio@gmail.com</t>
  </si>
  <si>
    <t>AV. COSTANERA URB. MIRAMAR B-305</t>
  </si>
  <si>
    <t>ZUNINI INGA FRANK ALFONSO THOMMAS</t>
  </si>
  <si>
    <t xml:space="preserve">LORETO </t>
  </si>
  <si>
    <t>CASTILLO AQUINO, ANA LAURA</t>
  </si>
  <si>
    <t>acastillo@consorciosrt.com</t>
  </si>
  <si>
    <t>INGENIERO RESPONSABLE DE VALORIZACIONES</t>
  </si>
  <si>
    <t>AV JAVIER PRADO OESTE 1818</t>
  </si>
  <si>
    <t>CUELLAR TERAN, VANESSA</t>
  </si>
  <si>
    <t>vcuellar@consorciosrt.com</t>
  </si>
  <si>
    <t>RESPONSABLE DE VALORIZACIONES DE SUBCONTRATOS</t>
  </si>
  <si>
    <t>CALLE MANUEL UGARTE Y MOSCOSO 991</t>
  </si>
  <si>
    <t>Calle  Los Naranjos 346 Piso 1 250</t>
  </si>
  <si>
    <t>DIRECCION</t>
  </si>
  <si>
    <t>GUTIERREZ FERRER, ERNESTO MARTIN</t>
  </si>
  <si>
    <t>006233236</t>
  </si>
  <si>
    <t>PEREZ GODOY, CARLOS ANDRES</t>
  </si>
  <si>
    <t>aperez@consorciosrt.com</t>
  </si>
  <si>
    <t>GERENTE DE PRODUCCION</t>
  </si>
  <si>
    <t>42320607</t>
  </si>
  <si>
    <t>AGUILAR CHUQUE, JORGE ISAIAS</t>
  </si>
  <si>
    <t xml:space="preserve">jorgechuque82@gmail.com </t>
  </si>
  <si>
    <t xml:space="preserve">ASENT. H. 4 DE DICIEMBRE MZ D LT 5 </t>
  </si>
  <si>
    <t>INDEPENDENCIA</t>
  </si>
  <si>
    <t>09741104</t>
  </si>
  <si>
    <t>CABELLO RIVERA, ALEXANDER LINO</t>
  </si>
  <si>
    <t xml:space="preserve">alexcabello2309@gmail.com </t>
  </si>
  <si>
    <t>V.A. VELAUNDE 1040</t>
  </si>
  <si>
    <t>72240877</t>
  </si>
  <si>
    <t>GALVEZ MELENDEZ, ROBERTO ENRIQUE</t>
  </si>
  <si>
    <t xml:space="preserve">robertogalvezmelendez@gmail.com </t>
  </si>
  <si>
    <t>ASOC. VIV. MARIA REICH MZ A LT 5 PAMPLONA BAJA</t>
  </si>
  <si>
    <t>0081222450</t>
  </si>
  <si>
    <t>BARDALES TANCHIVA, JAC JORDAN</t>
  </si>
  <si>
    <t xml:space="preserve">bardalesjordan32@gmail.com </t>
  </si>
  <si>
    <t xml:space="preserve">PSJ 3 DE JUNIO 46 </t>
  </si>
  <si>
    <t xml:space="preserve">PUNCHANA </t>
  </si>
  <si>
    <t xml:space="preserve">MAYNAS </t>
  </si>
  <si>
    <t>76844113</t>
  </si>
  <si>
    <t>DAHUA LANZA, TITO JHOAN</t>
  </si>
  <si>
    <t>dahuatito84@gmail.com</t>
  </si>
  <si>
    <t xml:space="preserve">CASERIO NUEVO DEFENSOR </t>
  </si>
  <si>
    <t>NAPO</t>
  </si>
  <si>
    <t>75619920</t>
  </si>
  <si>
    <t>BARDALES TANCHIVA, JEFRY CHRISTOPHER</t>
  </si>
  <si>
    <t xml:space="preserve">jefrybardales21@gmail.com </t>
  </si>
  <si>
    <t xml:space="preserve">CALLE 03 DE JUNIO 46 </t>
  </si>
  <si>
    <t>8361356</t>
  </si>
  <si>
    <t>GONZALEZ FLORES, ALVARO RUBEN</t>
  </si>
  <si>
    <t xml:space="preserve">alvharito583@gmail.com </t>
  </si>
  <si>
    <t xml:space="preserve">AV. 24 DE JUNIO 15 DPTO 102 </t>
  </si>
  <si>
    <t>CHORRILLOS</t>
  </si>
  <si>
    <t>72289751</t>
  </si>
  <si>
    <t>GUILLEN CARRASCO, JORDIN STALIN</t>
  </si>
  <si>
    <t>guillencarrascoyordy@gmail.com</t>
  </si>
  <si>
    <t xml:space="preserve">ANEXO COLPABAMBA </t>
  </si>
  <si>
    <t>HUANCASPATA</t>
  </si>
  <si>
    <t>PATAZ</t>
  </si>
  <si>
    <t>77334986</t>
  </si>
  <si>
    <t>OCAÑA CUENCA, CLINTON EYDER</t>
  </si>
  <si>
    <t xml:space="preserve">eidercuanca@gmail.com </t>
  </si>
  <si>
    <t xml:space="preserve">ASOC COMPRADORES DE CAMPOY MZ L LT 4 </t>
  </si>
  <si>
    <t xml:space="preserve">SAMN JUAN DE LURIGANCHO </t>
  </si>
  <si>
    <t>48579411</t>
  </si>
  <si>
    <t>SARRIA GEIDRES GEIDRES, WILLIAM ROBERTO</t>
  </si>
  <si>
    <t xml:space="preserve">willysarrigeidres@gmail.com </t>
  </si>
  <si>
    <t xml:space="preserve">CALLE ROSAS 295 URB. VILLA JARDIN </t>
  </si>
  <si>
    <t>71912061</t>
  </si>
  <si>
    <t>VILLALOBOS LUJAN, MISLER</t>
  </si>
  <si>
    <t xml:space="preserve">mislervillabos@gmail.com </t>
  </si>
  <si>
    <t xml:space="preserve">AV. QUILCA MZ D29 LT 22 A.H. BOCANEGRA ZOANA 3 </t>
  </si>
  <si>
    <t>72150219</t>
  </si>
  <si>
    <t xml:space="preserve">CHAUCA QUISPE LUIS FERNANDO </t>
  </si>
  <si>
    <t xml:space="preserve">ferchauccaquispe@gmail.com </t>
  </si>
  <si>
    <t>AUXILIAR DE ELECTRICIDAD</t>
  </si>
  <si>
    <t xml:space="preserve">CALLE BOLIVAR S/N </t>
  </si>
  <si>
    <t xml:space="preserve">HUAROCONDO </t>
  </si>
  <si>
    <t>77059697</t>
  </si>
  <si>
    <t xml:space="preserve">ORTIZ SERRANO EDWIN JEREMY </t>
  </si>
  <si>
    <t xml:space="preserve">ortizserranoedwinjeremy@gmail.com </t>
  </si>
  <si>
    <t xml:space="preserve">ASOC. PRO VIV VILLA RINCONADA MZ G LT 1 </t>
  </si>
  <si>
    <t>71468983</t>
  </si>
  <si>
    <t xml:space="preserve">HUAYLLANI MONTERROSO RICARDO LEON </t>
  </si>
  <si>
    <t xml:space="preserve">ricardoleon.hm@gmail.com </t>
  </si>
  <si>
    <t xml:space="preserve">URB. AMADEO REPETO MZ. K LT 20 </t>
  </si>
  <si>
    <t>73517588</t>
  </si>
  <si>
    <t xml:space="preserve">QUISPE SALAZAR JOSE FERNANDO </t>
  </si>
  <si>
    <t xml:space="preserve">fernando.quispesala@gmail.com </t>
  </si>
  <si>
    <t>P.J. PICCHU LA RINCONADA M-9</t>
  </si>
  <si>
    <t>74911013</t>
  </si>
  <si>
    <t>VARGAS MAR CRISTHOFER</t>
  </si>
  <si>
    <t xml:space="preserve">cv3030912@gmail.com </t>
  </si>
  <si>
    <t>AUXILIAR DE SERVICIOS GENERALES</t>
  </si>
  <si>
    <t>CALLE SAN MARTIN URB PICCHU MZ. D LT. 01</t>
  </si>
  <si>
    <t>70157765</t>
  </si>
  <si>
    <t>BALDERA VELASQUEZ VICTOR MANUEL</t>
  </si>
  <si>
    <t xml:space="preserve">baldera.velasquez28@gmail.com </t>
  </si>
  <si>
    <t>FONAVI II LT.14</t>
  </si>
  <si>
    <t>41809428</t>
  </si>
  <si>
    <t>YAÑEZ GARCIA LARKY SEOSKY</t>
  </si>
  <si>
    <t xml:space="preserve">larkyseosky@gmail.com </t>
  </si>
  <si>
    <t>INGENIERO ASISTENTE TIC</t>
  </si>
  <si>
    <t>URB.EL BOSQUE MZ.F LT.2</t>
  </si>
  <si>
    <t>74663381</t>
  </si>
  <si>
    <t>GONZALES VALENZUELA KELLY LINDSAY</t>
  </si>
  <si>
    <t xml:space="preserve">lindsay.gonzales.coor@gmail.com </t>
  </si>
  <si>
    <t>CALLE SAN JUDAS TADEO 579</t>
  </si>
  <si>
    <t>47878019</t>
  </si>
  <si>
    <t>AURICH ROJAS KATTIA MILAGROS</t>
  </si>
  <si>
    <t xml:space="preserve">aurichkattia@gmail.com </t>
  </si>
  <si>
    <t>CALLE ANEXO S/N</t>
  </si>
  <si>
    <t>47994866</t>
  </si>
  <si>
    <t>VISA HUISA IVETH MARY</t>
  </si>
  <si>
    <t>ivethvisa2608@gmail.com</t>
  </si>
  <si>
    <t>PSJ. RAMON CASTILLA 404</t>
  </si>
  <si>
    <t>76161101</t>
  </si>
  <si>
    <t>AVENDAÑO CASTILLO WALTER BENJAMIN</t>
  </si>
  <si>
    <t xml:space="preserve">benave.ben@gmail.com </t>
  </si>
  <si>
    <t>URB DOLORESPATA MZ. E LT. 12</t>
  </si>
  <si>
    <t>48453705</t>
  </si>
  <si>
    <t>CORDOVA APAZA  ANTHONY</t>
  </si>
  <si>
    <t>anthonygoud3@gmail.com</t>
  </si>
  <si>
    <t>URB. TUPAC AMARU W-10</t>
  </si>
  <si>
    <t>13/10/2025</t>
  </si>
  <si>
    <t>75489601</t>
  </si>
  <si>
    <t>PAUCAR SERVAN CARMEN ROSA</t>
  </si>
  <si>
    <t xml:space="preserve">car.ps1605@gmail.com </t>
  </si>
  <si>
    <t>DPTO. 103 COND. LOS CEDROS EDIFICIO NRO. 2</t>
  </si>
  <si>
    <t>EL AGUSTINO</t>
  </si>
  <si>
    <t>25610023</t>
  </si>
  <si>
    <t>ALOR ESPADA FERNANDO ANTONIO</t>
  </si>
  <si>
    <t>falor41@hotmail.com</t>
  </si>
  <si>
    <t>JR. LAS ROSAS MZ.C LT.10 URB.SAGRADA FAMILIA</t>
  </si>
  <si>
    <t>BELLAVI</t>
  </si>
  <si>
    <t>77420354</t>
  </si>
  <si>
    <t xml:space="preserve">ARROYO  MANRIQUE  ESTANISLAO </t>
  </si>
  <si>
    <t>yorcharroyomanrique@gmail.com</t>
  </si>
  <si>
    <t>ANEXO ALTO TIWINZA</t>
  </si>
  <si>
    <t>17/10/2025</t>
  </si>
  <si>
    <t>47544426</t>
  </si>
  <si>
    <t>DOMENACK ESPINOZA GREYSI CAROLINA</t>
  </si>
  <si>
    <t xml:space="preserve">greyca78@gmail.com </t>
  </si>
  <si>
    <t>CALLE ESPINELA URB SAN LUIS MZ. B LT. 27</t>
  </si>
  <si>
    <t>RENUNCIA</t>
  </si>
  <si>
    <t>73676845</t>
  </si>
  <si>
    <t>VILLASANTE FAJARDO JACQUELINE</t>
  </si>
  <si>
    <t xml:space="preserve">kimberlyiie@gmail.com </t>
  </si>
  <si>
    <t>CALLE CUZCO 265 DPTO. 103</t>
  </si>
  <si>
    <t>76845315</t>
  </si>
  <si>
    <t>HUANCA TINTAYA CESAR</t>
  </si>
  <si>
    <t xml:space="preserve">cesartintayac@gmail.com </t>
  </si>
  <si>
    <t>COM. CCACCACCOLLO</t>
  </si>
  <si>
    <t>TARAY</t>
  </si>
  <si>
    <t>80249866</t>
  </si>
  <si>
    <t>JULI ANDIA MERCEDES</t>
  </si>
  <si>
    <t xml:space="preserve">jeylopezxd124@gmail.com </t>
  </si>
  <si>
    <t>AV.CAMINO REAL MZ.T LT.17 ASENT.H VILLA ESPAÑA</t>
  </si>
  <si>
    <t>CHIMBOTE</t>
  </si>
  <si>
    <t>SANTA</t>
  </si>
  <si>
    <t>44233779</t>
  </si>
  <si>
    <t>PALACO PACHECO  LILIAN JUANA</t>
  </si>
  <si>
    <t>lilianpalaco@gmail.com</t>
  </si>
  <si>
    <t>PSJ. SAN ANTONIO URB N.C.V. III ETAPA MZ. X3 LT. 17</t>
  </si>
  <si>
    <t>PIÑARREAL LAIME, CARMEN</t>
  </si>
  <si>
    <t>76046952</t>
  </si>
  <si>
    <t>PUMA MOLLO VIDES</t>
  </si>
  <si>
    <t xml:space="preserve">pumamollov@gmaiil.com </t>
  </si>
  <si>
    <t>COM CCOCHAYOC</t>
  </si>
  <si>
    <t>LARES</t>
  </si>
  <si>
    <t>DIAZ ALFARO, ETHEL IVONNE</t>
  </si>
  <si>
    <t>CALLE MIGUEL ANCO URB. LAS MAGNOLIAS MZ. A LT. 1</t>
  </si>
  <si>
    <t>76374078</t>
  </si>
  <si>
    <t>QUISPE SOTO WALTER</t>
  </si>
  <si>
    <t>walterquispe.bajun23@gmail.com</t>
  </si>
  <si>
    <t>SECTOR PAUCARPATA</t>
  </si>
  <si>
    <t>45674438</t>
  </si>
  <si>
    <t>RAMIREZ MERA WALTER ENRIQUE</t>
  </si>
  <si>
    <t>werm1705@gmail.com</t>
  </si>
  <si>
    <t>INGENIERO DE INSTALACIONES MECANICAS</t>
  </si>
  <si>
    <t>CALLE LOS TAMBOS 340</t>
  </si>
  <si>
    <t>70202786</t>
  </si>
  <si>
    <t>REYES PADUA JOSUE PABLO</t>
  </si>
  <si>
    <t>josuereyespadua99@gmail.com</t>
  </si>
  <si>
    <t>PROVIV LOS CEDROS DE CARABAYLLO PISO 2 MZ. J LT. 18-A</t>
  </si>
  <si>
    <t>72764142</t>
  </si>
  <si>
    <t>SALON ULLACHICA, EDWIN STIPH</t>
  </si>
  <si>
    <t>edwinstiphsalonullachica@gmail.com</t>
  </si>
  <si>
    <t>CALLE ALMUDENA 1036 </t>
  </si>
  <si>
    <t>74208164</t>
  </si>
  <si>
    <t xml:space="preserve">MUÑOZ  CABRERA  VICTOR NAPOLEON </t>
  </si>
  <si>
    <t>napoleonmc98@gmail.com</t>
  </si>
  <si>
    <t>CALLE CACIQUE COLLIQUE 256 PISO 2 URB LATINA</t>
  </si>
  <si>
    <t>20/10/2025</t>
  </si>
  <si>
    <t>42066622</t>
  </si>
  <si>
    <t>ZAVALETA PINCHI FERNANDO</t>
  </si>
  <si>
    <t>ferzavaletap@gmail.com</t>
  </si>
  <si>
    <t>CONTADOR</t>
  </si>
  <si>
    <t>SECTOR 2 GRUPO 6 MZ. E LT. 21</t>
  </si>
  <si>
    <t>VILLA EL SALVADOR</t>
  </si>
  <si>
    <t>70003871</t>
  </si>
  <si>
    <t>ROJAS RODRIGUEZ CHRISTIAN FERNANDO</t>
  </si>
  <si>
    <t>christian.rojas.r@outlook.com</t>
  </si>
  <si>
    <t>BLOCK V DPTO. 302 COND. RES LOS PINOS DE LA PLATA</t>
  </si>
  <si>
    <t xml:space="preserve">RENUNCIA </t>
  </si>
  <si>
    <t>73198473</t>
  </si>
  <si>
    <t>VARGAS CARPIO STALINN</t>
  </si>
  <si>
    <t>vargas.carpio@hotmail.com</t>
  </si>
  <si>
    <t>CALLE TUPAC AMARU S/N PROLONG.</t>
  </si>
  <si>
    <t>74078233</t>
  </si>
  <si>
    <t>SIGUENZA AZABACHE DENNIS IVAN</t>
  </si>
  <si>
    <t xml:space="preserve">dnns_s.a@hotmail.es </t>
  </si>
  <si>
    <t>ANALISTA DE RECURSOS HUMANOS</t>
  </si>
  <si>
    <t>CALLE ATAHUALPA 658 URB RIO SECO</t>
  </si>
  <si>
    <t>EL PORVENIR</t>
  </si>
  <si>
    <t>72525769</t>
  </si>
  <si>
    <t>CUSIHUALLPA MAMANI RICARDO EDUARDO</t>
  </si>
  <si>
    <t>cusi5cm@gmail.com</t>
  </si>
  <si>
    <t>CALLE GARCILASO S/N MZ. Z-4 LT. 1</t>
  </si>
  <si>
    <t>QUIQUIJANA</t>
  </si>
  <si>
    <t>QUISPICANCHI</t>
  </si>
  <si>
    <t>46059797</t>
  </si>
  <si>
    <t>APAZA CANAZA FERNANDO</t>
  </si>
  <si>
    <t>likin0319@gmail.com</t>
  </si>
  <si>
    <t>JR. IRRIBARREN 312 P.J. AÑO NUEVO</t>
  </si>
  <si>
    <t>POSITIVO ALCOHOTEST</t>
  </si>
  <si>
    <t>70570380</t>
  </si>
  <si>
    <t>APAZA OBLITAS KAREN LUCIA</t>
  </si>
  <si>
    <t>karenalu20@gmail.com</t>
  </si>
  <si>
    <t>CALLE BOLIVAR 218</t>
  </si>
  <si>
    <t>70790341</t>
  </si>
  <si>
    <t>CATALAN CERVANTES ROMARIO</t>
  </si>
  <si>
    <t xml:space="preserve">catalancervantesromario@gmail.com </t>
  </si>
  <si>
    <t>APV SOL NACIENTE Q-13</t>
  </si>
  <si>
    <t>70689003</t>
  </si>
  <si>
    <t>CRUZ DIAZ JOSE ANTONIO</t>
  </si>
  <si>
    <t xml:space="preserve">jcruzd.98@gmail.com </t>
  </si>
  <si>
    <t>AV GENARO SILVA COTRINA 122</t>
  </si>
  <si>
    <t>CHEPEN</t>
  </si>
  <si>
    <t>47281542</t>
  </si>
  <si>
    <t>DURAND LOPEZ  WILBER HUMBERTO</t>
  </si>
  <si>
    <t>humbertodurandlopez@gmail.com</t>
  </si>
  <si>
    <t>ARQUITECTO DE OFICINA TECNICA</t>
  </si>
  <si>
    <t>ASENT.H. ENRIQUE MONTENEGRO MZ. O1 LT. 13</t>
  </si>
  <si>
    <t>01/10/2025</t>
  </si>
  <si>
    <t>21797497</t>
  </si>
  <si>
    <t>FLORES TRECE LUIS ALBERTO</t>
  </si>
  <si>
    <t xml:space="preserve">florestreceluisa@gmail.com </t>
  </si>
  <si>
    <t>CALLE CHAVIN 218</t>
  </si>
  <si>
    <t>CHINCHA ALTA</t>
  </si>
  <si>
    <t>CHINCHA</t>
  </si>
  <si>
    <t>46137298</t>
  </si>
  <si>
    <t>LOZADA GONZALES GIANFRANCO</t>
  </si>
  <si>
    <t>gflozada@gmail.com</t>
  </si>
  <si>
    <t>JR. PICHINCHA 293 ASENT.H. LA VERONICA</t>
  </si>
  <si>
    <t>73010416</t>
  </si>
  <si>
    <t>MEZA ESTEBAN CHRISTIAN</t>
  </si>
  <si>
    <t xml:space="preserve">christianme3@gmail.com </t>
  </si>
  <si>
    <t>M D L 16 PROVIV NUEVO HORIZONTE</t>
  </si>
  <si>
    <t>PEÑA PALOMINO PERCY</t>
  </si>
  <si>
    <t>ACCHA</t>
  </si>
  <si>
    <t>72966569</t>
  </si>
  <si>
    <t>QUISPE PEÑA HEGEL WILSON</t>
  </si>
  <si>
    <t xml:space="preserve">hegel.mqp@gmail.com </t>
  </si>
  <si>
    <t>JR. AREQUIPA 101</t>
  </si>
  <si>
    <t>CHILCA</t>
  </si>
  <si>
    <t>45096017</t>
  </si>
  <si>
    <t>RAMIREZ RODRIGUEZ FREDDY ROLANDO</t>
  </si>
  <si>
    <t xml:space="preserve">ramirezrodriguezfreddy20@gmail.com </t>
  </si>
  <si>
    <t>CONDORCANQUI 2110</t>
  </si>
  <si>
    <t>76918568</t>
  </si>
  <si>
    <t>TINTAYA HOLGUIN, HARRY JIMMY</t>
  </si>
  <si>
    <t>htintaya22@gmail.com</t>
  </si>
  <si>
    <t>AV. JORGE NAVARRETE P-19</t>
  </si>
  <si>
    <t>75926982</t>
  </si>
  <si>
    <t>TINTAYA HOLGUIN, JHERSON EDDIE</t>
  </si>
  <si>
    <t>jhersontintayarg4@gmail.com</t>
  </si>
  <si>
    <t>Auxiliar de Seguridad Patrimonial</t>
  </si>
  <si>
    <t>URB. AMADEO REPETTO MZ. K LT.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</si>
</sst>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rgb="FF00000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9"/>
      <color indexed="81"/>
      <name val="Tahoma"/>
      <family val="2"/>
    </font>
    <font>
      <u/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8"/>
      <color rgb="FF00000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DDD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3EC6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172">
    <xf numFmtId="0" fontId="0" fillId="0" borderId="0" xfId="0"/>
    <xf numFmtId="49" fontId="4" fillId="2" borderId="2" xfId="3" applyNumberFormat="1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wrapText="1"/>
    </xf>
    <xf numFmtId="14" fontId="4" fillId="2" borderId="2" xfId="3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49" fontId="7" fillId="3" borderId="2" xfId="0" applyNumberFormat="1" applyFont="1" applyFill="1" applyBorder="1"/>
    <xf numFmtId="0" fontId="7" fillId="3" borderId="2" xfId="0" applyFont="1" applyFill="1" applyBorder="1"/>
    <xf numFmtId="0" fontId="2" fillId="3" borderId="2" xfId="4" applyFill="1" applyBorder="1"/>
    <xf numFmtId="14" fontId="7" fillId="3" borderId="2" xfId="0" applyNumberFormat="1" applyFont="1" applyFill="1" applyBorder="1" applyAlignment="1">
      <alignment horizontal="left"/>
    </xf>
    <xf numFmtId="14" fontId="7" fillId="3" borderId="2" xfId="0" applyNumberFormat="1" applyFont="1" applyFill="1" applyBorder="1"/>
    <xf numFmtId="43" fontId="7" fillId="3" borderId="2" xfId="0" applyNumberFormat="1" applyFont="1" applyFill="1" applyBorder="1"/>
    <xf numFmtId="43" fontId="7" fillId="3" borderId="2" xfId="1" applyFont="1" applyFill="1" applyBorder="1"/>
    <xf numFmtId="164" fontId="7" fillId="3" borderId="2" xfId="0" applyNumberFormat="1" applyFont="1" applyFill="1" applyBorder="1" applyAlignment="1">
      <alignment horizontal="center"/>
    </xf>
    <xf numFmtId="14" fontId="5" fillId="3" borderId="2" xfId="0" applyNumberFormat="1" applyFont="1" applyFill="1" applyBorder="1"/>
    <xf numFmtId="0" fontId="5" fillId="3" borderId="0" xfId="0" applyFont="1" applyFill="1"/>
    <xf numFmtId="164" fontId="5" fillId="3" borderId="2" xfId="0" applyNumberFormat="1" applyFont="1" applyFill="1" applyBorder="1"/>
    <xf numFmtId="164" fontId="7" fillId="3" borderId="2" xfId="0" applyNumberFormat="1" applyFont="1" applyFill="1" applyBorder="1"/>
    <xf numFmtId="0" fontId="2" fillId="3" borderId="2" xfId="2" applyFill="1" applyBorder="1"/>
    <xf numFmtId="0" fontId="7" fillId="4" borderId="2" xfId="0" applyFont="1" applyFill="1" applyBorder="1"/>
    <xf numFmtId="0" fontId="7" fillId="5" borderId="2" xfId="0" applyFont="1" applyFill="1" applyBorder="1"/>
    <xf numFmtId="43" fontId="7" fillId="6" borderId="2" xfId="0" applyNumberFormat="1" applyFont="1" applyFill="1" applyBorder="1"/>
    <xf numFmtId="0" fontId="7" fillId="3" borderId="0" xfId="0" applyFont="1" applyFill="1" applyAlignment="1">
      <alignment horizontal="center" vertical="center"/>
    </xf>
    <xf numFmtId="49" fontId="7" fillId="0" borderId="0" xfId="0" applyNumberFormat="1" applyFont="1"/>
    <xf numFmtId="0" fontId="0" fillId="0" borderId="8" xfId="0" applyBorder="1"/>
    <xf numFmtId="0" fontId="7" fillId="3" borderId="0" xfId="0" applyFont="1" applyFill="1"/>
    <xf numFmtId="0" fontId="7" fillId="3" borderId="0" xfId="0" applyFont="1" applyFill="1" applyAlignment="1">
      <alignment horizontal="left"/>
    </xf>
    <xf numFmtId="14" fontId="7" fillId="3" borderId="0" xfId="0" applyNumberFormat="1" applyFont="1" applyFill="1" applyAlignment="1">
      <alignment horizontal="center"/>
    </xf>
    <xf numFmtId="14" fontId="7" fillId="3" borderId="0" xfId="0" applyNumberFormat="1" applyFont="1" applyFill="1"/>
    <xf numFmtId="0" fontId="0" fillId="7" borderId="8" xfId="0" applyFill="1" applyBorder="1"/>
    <xf numFmtId="0" fontId="0" fillId="7" borderId="9" xfId="0" applyFill="1" applyBorder="1"/>
    <xf numFmtId="0" fontId="5" fillId="0" borderId="0" xfId="0" applyFont="1"/>
    <xf numFmtId="0" fontId="7" fillId="0" borderId="2" xfId="0" applyFont="1" applyBorder="1" applyAlignment="1">
      <alignment horizontal="center" vertical="center"/>
    </xf>
    <xf numFmtId="49" fontId="7" fillId="0" borderId="2" xfId="0" applyNumberFormat="1" applyFont="1" applyBorder="1"/>
    <xf numFmtId="0" fontId="7" fillId="8" borderId="2" xfId="0" applyFont="1" applyFill="1" applyBorder="1"/>
    <xf numFmtId="0" fontId="7" fillId="0" borderId="2" xfId="0" applyFont="1" applyBorder="1"/>
    <xf numFmtId="14" fontId="7" fillId="0" borderId="2" xfId="0" applyNumberFormat="1" applyFont="1" applyBorder="1" applyAlignment="1">
      <alignment horizontal="center"/>
    </xf>
    <xf numFmtId="14" fontId="7" fillId="4" borderId="2" xfId="0" applyNumberFormat="1" applyFont="1" applyFill="1" applyBorder="1"/>
    <xf numFmtId="14" fontId="7" fillId="0" borderId="2" xfId="0" applyNumberFormat="1" applyFont="1" applyBorder="1"/>
    <xf numFmtId="0" fontId="7" fillId="0" borderId="0" xfId="0" applyFont="1"/>
    <xf numFmtId="0" fontId="7" fillId="9" borderId="0" xfId="0" applyFont="1" applyFill="1"/>
    <xf numFmtId="14" fontId="7" fillId="8" borderId="2" xfId="0" applyNumberFormat="1" applyFont="1" applyFill="1" applyBorder="1"/>
    <xf numFmtId="14" fontId="7" fillId="9" borderId="2" xfId="0" applyNumberFormat="1" applyFont="1" applyFill="1" applyBorder="1"/>
    <xf numFmtId="49" fontId="6" fillId="0" borderId="2" xfId="0" quotePrefix="1" applyNumberFormat="1" applyFont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14" fontId="6" fillId="8" borderId="2" xfId="0" applyNumberFormat="1" applyFont="1" applyFill="1" applyBorder="1" applyAlignment="1">
      <alignment horizontal="center"/>
    </xf>
    <xf numFmtId="14" fontId="7" fillId="4" borderId="2" xfId="0" applyNumberFormat="1" applyFont="1" applyFill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/>
    </xf>
    <xf numFmtId="14" fontId="7" fillId="9" borderId="0" xfId="0" applyNumberFormat="1" applyFont="1" applyFill="1"/>
    <xf numFmtId="14" fontId="7" fillId="8" borderId="2" xfId="0" applyNumberFormat="1" applyFont="1" applyFill="1" applyBorder="1" applyAlignment="1">
      <alignment horizontal="center"/>
    </xf>
    <xf numFmtId="14" fontId="7" fillId="9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7" fillId="9" borderId="2" xfId="0" applyFont="1" applyFill="1" applyBorder="1"/>
    <xf numFmtId="0" fontId="7" fillId="0" borderId="2" xfId="0" applyFont="1" applyBorder="1" applyAlignment="1">
      <alignment horizontal="center"/>
    </xf>
    <xf numFmtId="49" fontId="7" fillId="8" borderId="2" xfId="0" applyNumberFormat="1" applyFont="1" applyFill="1" applyBorder="1"/>
    <xf numFmtId="14" fontId="7" fillId="0" borderId="0" xfId="0" applyNumberFormat="1" applyFont="1"/>
    <xf numFmtId="49" fontId="6" fillId="8" borderId="2" xfId="0" applyNumberFormat="1" applyFont="1" applyFill="1" applyBorder="1"/>
    <xf numFmtId="14" fontId="7" fillId="4" borderId="2" xfId="0" applyNumberFormat="1" applyFont="1" applyFill="1" applyBorder="1" applyAlignment="1">
      <alignment horizontal="center"/>
    </xf>
    <xf numFmtId="49" fontId="7" fillId="8" borderId="2" xfId="0" quotePrefix="1" applyNumberFormat="1" applyFont="1" applyFill="1" applyBorder="1"/>
    <xf numFmtId="14" fontId="7" fillId="10" borderId="2" xfId="0" applyNumberFormat="1" applyFont="1" applyFill="1" applyBorder="1"/>
    <xf numFmtId="0" fontId="5" fillId="0" borderId="2" xfId="0" applyFont="1" applyBorder="1" applyAlignment="1">
      <alignment horizontal="center" vertical="center"/>
    </xf>
    <xf numFmtId="0" fontId="7" fillId="11" borderId="0" xfId="0" applyFont="1" applyFill="1"/>
    <xf numFmtId="14" fontId="6" fillId="4" borderId="2" xfId="0" applyNumberFormat="1" applyFont="1" applyFill="1" applyBorder="1"/>
    <xf numFmtId="14" fontId="7" fillId="8" borderId="0" xfId="0" applyNumberFormat="1" applyFont="1" applyFill="1"/>
    <xf numFmtId="49" fontId="5" fillId="0" borderId="2" xfId="0" applyNumberFormat="1" applyFont="1" applyBorder="1"/>
    <xf numFmtId="0" fontId="5" fillId="0" borderId="2" xfId="0" applyFont="1" applyBorder="1"/>
    <xf numFmtId="14" fontId="5" fillId="0" borderId="2" xfId="0" applyNumberFormat="1" applyFont="1" applyBorder="1" applyAlignment="1">
      <alignment horizontal="center"/>
    </xf>
    <xf numFmtId="14" fontId="5" fillId="4" borderId="2" xfId="0" applyNumberFormat="1" applyFont="1" applyFill="1" applyBorder="1"/>
    <xf numFmtId="14" fontId="5" fillId="12" borderId="2" xfId="0" applyNumberFormat="1" applyFont="1" applyFill="1" applyBorder="1"/>
    <xf numFmtId="14" fontId="5" fillId="0" borderId="2" xfId="0" applyNumberFormat="1" applyFont="1" applyBorder="1"/>
    <xf numFmtId="14" fontId="7" fillId="4" borderId="2" xfId="0" applyNumberFormat="1" applyFont="1" applyFill="1" applyBorder="1" applyAlignment="1">
      <alignment horizontal="right"/>
    </xf>
    <xf numFmtId="49" fontId="9" fillId="0" borderId="2" xfId="0" applyNumberFormat="1" applyFont="1" applyBorder="1"/>
    <xf numFmtId="0" fontId="9" fillId="0" borderId="2" xfId="0" applyFont="1" applyBorder="1"/>
    <xf numFmtId="14" fontId="9" fillId="0" borderId="2" xfId="0" applyNumberFormat="1" applyFont="1" applyBorder="1" applyAlignment="1">
      <alignment horizontal="center"/>
    </xf>
    <xf numFmtId="14" fontId="9" fillId="0" borderId="2" xfId="0" applyNumberFormat="1" applyFont="1" applyBorder="1"/>
    <xf numFmtId="49" fontId="7" fillId="0" borderId="2" xfId="0" quotePrefix="1" applyNumberFormat="1" applyFont="1" applyBorder="1"/>
    <xf numFmtId="14" fontId="6" fillId="8" borderId="2" xfId="0" applyNumberFormat="1" applyFont="1" applyFill="1" applyBorder="1" applyAlignment="1">
      <alignment horizontal="right"/>
    </xf>
    <xf numFmtId="14" fontId="10" fillId="0" borderId="2" xfId="0" applyNumberFormat="1" applyFont="1" applyBorder="1"/>
    <xf numFmtId="49" fontId="11" fillId="3" borderId="2" xfId="0" applyNumberFormat="1" applyFont="1" applyFill="1" applyBorder="1"/>
    <xf numFmtId="14" fontId="11" fillId="3" borderId="2" xfId="0" applyNumberFormat="1" applyFont="1" applyFill="1" applyBorder="1"/>
    <xf numFmtId="14" fontId="11" fillId="3" borderId="2" xfId="0" applyNumberFormat="1" applyFont="1" applyFill="1" applyBorder="1" applyAlignment="1">
      <alignment horizontal="center"/>
    </xf>
    <xf numFmtId="0" fontId="11" fillId="3" borderId="2" xfId="0" applyFont="1" applyFill="1" applyBorder="1"/>
    <xf numFmtId="14" fontId="5" fillId="3" borderId="0" xfId="0" applyNumberFormat="1" applyFont="1" applyFill="1"/>
    <xf numFmtId="14" fontId="7" fillId="3" borderId="2" xfId="0" applyNumberFormat="1" applyFont="1" applyFill="1" applyBorder="1" applyAlignment="1">
      <alignment horizontal="center"/>
    </xf>
    <xf numFmtId="0" fontId="12" fillId="3" borderId="0" xfId="0" applyFont="1" applyFill="1"/>
    <xf numFmtId="14" fontId="7" fillId="3" borderId="10" xfId="0" applyNumberFormat="1" applyFont="1" applyFill="1" applyBorder="1"/>
    <xf numFmtId="49" fontId="9" fillId="3" borderId="2" xfId="0" applyNumberFormat="1" applyFont="1" applyFill="1" applyBorder="1"/>
    <xf numFmtId="0" fontId="9" fillId="3" borderId="2" xfId="0" applyFont="1" applyFill="1" applyBorder="1"/>
    <xf numFmtId="14" fontId="9" fillId="3" borderId="2" xfId="0" applyNumberFormat="1" applyFont="1" applyFill="1" applyBorder="1"/>
    <xf numFmtId="14" fontId="9" fillId="3" borderId="2" xfId="0" applyNumberFormat="1" applyFont="1" applyFill="1" applyBorder="1" applyAlignment="1">
      <alignment horizontal="center"/>
    </xf>
    <xf numFmtId="14" fontId="10" fillId="3" borderId="2" xfId="0" applyNumberFormat="1" applyFont="1" applyFill="1" applyBorder="1"/>
    <xf numFmtId="14" fontId="7" fillId="3" borderId="2" xfId="0" applyNumberFormat="1" applyFont="1" applyFill="1" applyBorder="1" applyAlignment="1">
      <alignment horizontal="right"/>
    </xf>
    <xf numFmtId="49" fontId="7" fillId="3" borderId="2" xfId="0" quotePrefix="1" applyNumberFormat="1" applyFont="1" applyFill="1" applyBorder="1"/>
    <xf numFmtId="14" fontId="6" fillId="3" borderId="2" xfId="0" applyNumberFormat="1" applyFont="1" applyFill="1" applyBorder="1"/>
    <xf numFmtId="0" fontId="9" fillId="3" borderId="0" xfId="0" applyFont="1" applyFill="1"/>
    <xf numFmtId="49" fontId="6" fillId="3" borderId="11" xfId="0" applyNumberFormat="1" applyFont="1" applyFill="1" applyBorder="1"/>
    <xf numFmtId="0" fontId="6" fillId="3" borderId="11" xfId="0" applyFont="1" applyFill="1" applyBorder="1"/>
    <xf numFmtId="14" fontId="6" fillId="3" borderId="11" xfId="0" applyNumberFormat="1" applyFont="1" applyFill="1" applyBorder="1"/>
    <xf numFmtId="14" fontId="6" fillId="3" borderId="11" xfId="0" applyNumberFormat="1" applyFont="1" applyFill="1" applyBorder="1" applyAlignment="1">
      <alignment horizontal="center"/>
    </xf>
    <xf numFmtId="49" fontId="9" fillId="3" borderId="2" xfId="0" quotePrefix="1" applyNumberFormat="1" applyFont="1" applyFill="1" applyBorder="1"/>
    <xf numFmtId="14" fontId="9" fillId="3" borderId="10" xfId="0" applyNumberFormat="1" applyFont="1" applyFill="1" applyBorder="1"/>
    <xf numFmtId="14" fontId="7" fillId="3" borderId="12" xfId="0" applyNumberFormat="1" applyFont="1" applyFill="1" applyBorder="1"/>
    <xf numFmtId="14" fontId="6" fillId="3" borderId="10" xfId="0" applyNumberFormat="1" applyFont="1" applyFill="1" applyBorder="1"/>
    <xf numFmtId="14" fontId="6" fillId="3" borderId="2" xfId="0" applyNumberFormat="1" applyFont="1" applyFill="1" applyBorder="1" applyAlignment="1">
      <alignment horizontal="right"/>
    </xf>
    <xf numFmtId="14" fontId="9" fillId="3" borderId="12" xfId="0" applyNumberFormat="1" applyFont="1" applyFill="1" applyBorder="1"/>
    <xf numFmtId="14" fontId="9" fillId="3" borderId="2" xfId="0" applyNumberFormat="1" applyFont="1" applyFill="1" applyBorder="1" applyAlignment="1">
      <alignment horizontal="right"/>
    </xf>
    <xf numFmtId="49" fontId="6" fillId="3" borderId="2" xfId="0" applyNumberFormat="1" applyFont="1" applyFill="1" applyBorder="1"/>
    <xf numFmtId="0" fontId="6" fillId="3" borderId="2" xfId="0" applyFont="1" applyFill="1" applyBorder="1"/>
    <xf numFmtId="14" fontId="6" fillId="3" borderId="2" xfId="0" applyNumberFormat="1" applyFont="1" applyFill="1" applyBorder="1" applyAlignment="1">
      <alignment horizontal="center"/>
    </xf>
    <xf numFmtId="14" fontId="11" fillId="3" borderId="2" xfId="0" applyNumberFormat="1" applyFont="1" applyFill="1" applyBorder="1" applyAlignment="1">
      <alignment horizontal="right"/>
    </xf>
    <xf numFmtId="14" fontId="13" fillId="3" borderId="2" xfId="0" applyNumberFormat="1" applyFont="1" applyFill="1" applyBorder="1"/>
    <xf numFmtId="49" fontId="7" fillId="3" borderId="11" xfId="0" applyNumberFormat="1" applyFont="1" applyFill="1" applyBorder="1"/>
    <xf numFmtId="0" fontId="7" fillId="3" borderId="11" xfId="0" applyFont="1" applyFill="1" applyBorder="1"/>
    <xf numFmtId="14" fontId="7" fillId="3" borderId="11" xfId="0" applyNumberFormat="1" applyFont="1" applyFill="1" applyBorder="1"/>
    <xf numFmtId="14" fontId="7" fillId="3" borderId="11" xfId="0" applyNumberFormat="1" applyFont="1" applyFill="1" applyBorder="1" applyAlignment="1">
      <alignment horizontal="center"/>
    </xf>
    <xf numFmtId="0" fontId="6" fillId="3" borderId="1" xfId="0" applyFont="1" applyFill="1" applyBorder="1"/>
    <xf numFmtId="14" fontId="6" fillId="3" borderId="1" xfId="0" applyNumberFormat="1" applyFont="1" applyFill="1" applyBorder="1"/>
    <xf numFmtId="14" fontId="13" fillId="3" borderId="11" xfId="0" applyNumberFormat="1" applyFont="1" applyFill="1" applyBorder="1"/>
    <xf numFmtId="0" fontId="13" fillId="3" borderId="11" xfId="0" applyFont="1" applyFill="1" applyBorder="1"/>
    <xf numFmtId="0" fontId="9" fillId="3" borderId="11" xfId="0" applyFont="1" applyFill="1" applyBorder="1"/>
    <xf numFmtId="49" fontId="7" fillId="3" borderId="1" xfId="0" applyNumberFormat="1" applyFont="1" applyFill="1" applyBorder="1"/>
    <xf numFmtId="0" fontId="9" fillId="3" borderId="1" xfId="0" applyFont="1" applyFill="1" applyBorder="1"/>
    <xf numFmtId="14" fontId="9" fillId="3" borderId="1" xfId="0" applyNumberFormat="1" applyFont="1" applyFill="1" applyBorder="1"/>
    <xf numFmtId="14" fontId="9" fillId="3" borderId="1" xfId="0" applyNumberFormat="1" applyFont="1" applyFill="1" applyBorder="1" applyAlignment="1">
      <alignment horizontal="center"/>
    </xf>
    <xf numFmtId="14" fontId="13" fillId="3" borderId="1" xfId="0" applyNumberFormat="1" applyFont="1" applyFill="1" applyBorder="1"/>
    <xf numFmtId="14" fontId="13" fillId="3" borderId="13" xfId="0" applyNumberFormat="1" applyFont="1" applyFill="1" applyBorder="1"/>
    <xf numFmtId="0" fontId="13" fillId="3" borderId="13" xfId="0" applyFont="1" applyFill="1" applyBorder="1"/>
    <xf numFmtId="0" fontId="9" fillId="3" borderId="13" xfId="0" applyFont="1" applyFill="1" applyBorder="1"/>
    <xf numFmtId="49" fontId="9" fillId="3" borderId="11" xfId="0" applyNumberFormat="1" applyFont="1" applyFill="1" applyBorder="1"/>
    <xf numFmtId="14" fontId="9" fillId="3" borderId="11" xfId="0" applyNumberFormat="1" applyFont="1" applyFill="1" applyBorder="1"/>
    <xf numFmtId="14" fontId="9" fillId="3" borderId="11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vertical="center"/>
    </xf>
    <xf numFmtId="164" fontId="9" fillId="3" borderId="2" xfId="0" applyNumberFormat="1" applyFont="1" applyFill="1" applyBorder="1" applyAlignment="1">
      <alignment horizontal="center"/>
    </xf>
    <xf numFmtId="0" fontId="13" fillId="3" borderId="2" xfId="0" applyFont="1" applyFill="1" applyBorder="1"/>
    <xf numFmtId="0" fontId="5" fillId="3" borderId="2" xfId="0" applyFont="1" applyFill="1" applyBorder="1"/>
    <xf numFmtId="0" fontId="7" fillId="0" borderId="2" xfId="0" applyFont="1" applyBorder="1" applyAlignment="1">
      <alignment horizontal="left"/>
    </xf>
    <xf numFmtId="14" fontId="6" fillId="0" borderId="2" xfId="3" applyNumberFormat="1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0" fontId="2" fillId="0" borderId="2" xfId="2" applyFill="1" applyBorder="1"/>
    <xf numFmtId="14" fontId="7" fillId="0" borderId="2" xfId="0" applyNumberFormat="1" applyFont="1" applyBorder="1" applyAlignment="1">
      <alignment horizontal="left"/>
    </xf>
    <xf numFmtId="0" fontId="2" fillId="0" borderId="2" xfId="4" applyFill="1" applyBorder="1"/>
    <xf numFmtId="14" fontId="9" fillId="0" borderId="2" xfId="0" applyNumberFormat="1" applyFont="1" applyBorder="1" applyAlignment="1">
      <alignment horizontal="left"/>
    </xf>
    <xf numFmtId="0" fontId="15" fillId="0" borderId="2" xfId="4" applyFont="1" applyFill="1" applyBorder="1"/>
    <xf numFmtId="14" fontId="9" fillId="3" borderId="2" xfId="0" applyNumberFormat="1" applyFont="1" applyFill="1" applyBorder="1" applyAlignment="1">
      <alignment horizontal="left"/>
    </xf>
    <xf numFmtId="14" fontId="7" fillId="3" borderId="0" xfId="0" applyNumberFormat="1" applyFont="1" applyFill="1" applyAlignment="1">
      <alignment horizontal="left"/>
    </xf>
    <xf numFmtId="0" fontId="2" fillId="3" borderId="11" xfId="2" applyFill="1" applyBorder="1"/>
    <xf numFmtId="14" fontId="6" fillId="3" borderId="11" xfId="0" applyNumberFormat="1" applyFont="1" applyFill="1" applyBorder="1" applyAlignment="1">
      <alignment horizontal="left"/>
    </xf>
    <xf numFmtId="14" fontId="6" fillId="3" borderId="2" xfId="0" applyNumberFormat="1" applyFont="1" applyFill="1" applyBorder="1" applyAlignment="1">
      <alignment horizontal="left"/>
    </xf>
    <xf numFmtId="14" fontId="9" fillId="3" borderId="0" xfId="0" applyNumberFormat="1" applyFont="1" applyFill="1" applyAlignment="1">
      <alignment horizontal="left"/>
    </xf>
    <xf numFmtId="0" fontId="16" fillId="3" borderId="2" xfId="2" applyFont="1" applyFill="1" applyBorder="1"/>
    <xf numFmtId="0" fontId="17" fillId="3" borderId="2" xfId="0" applyFont="1" applyFill="1" applyBorder="1"/>
    <xf numFmtId="14" fontId="7" fillId="3" borderId="11" xfId="0" applyNumberFormat="1" applyFont="1" applyFill="1" applyBorder="1" applyAlignment="1">
      <alignment horizontal="left"/>
    </xf>
    <xf numFmtId="0" fontId="2" fillId="3" borderId="1" xfId="4" applyFill="1" applyBorder="1"/>
    <xf numFmtId="14" fontId="9" fillId="3" borderId="1" xfId="0" applyNumberFormat="1" applyFont="1" applyFill="1" applyBorder="1" applyAlignment="1">
      <alignment horizontal="left"/>
    </xf>
    <xf numFmtId="0" fontId="2" fillId="3" borderId="11" xfId="4" applyFill="1" applyBorder="1"/>
    <xf numFmtId="14" fontId="9" fillId="3" borderId="11" xfId="0" applyNumberFormat="1" applyFont="1" applyFill="1" applyBorder="1" applyAlignment="1">
      <alignment horizontal="left"/>
    </xf>
    <xf numFmtId="0" fontId="4" fillId="2" borderId="1" xfId="3" applyFont="1" applyFill="1" applyBorder="1" applyAlignment="1">
      <alignment horizontal="center" vertical="center" wrapText="1"/>
    </xf>
    <xf numFmtId="0" fontId="4" fillId="2" borderId="7" xfId="3" applyFont="1" applyFill="1" applyBorder="1" applyAlignment="1">
      <alignment horizontal="center" vertical="center" wrapText="1"/>
    </xf>
    <xf numFmtId="14" fontId="4" fillId="2" borderId="2" xfId="3" applyNumberFormat="1" applyFont="1" applyFill="1" applyBorder="1" applyAlignment="1">
      <alignment horizontal="center" vertical="center" wrapText="1"/>
    </xf>
    <xf numFmtId="14" fontId="4" fillId="2" borderId="1" xfId="3" applyNumberFormat="1" applyFont="1" applyFill="1" applyBorder="1" applyAlignment="1">
      <alignment horizontal="center" vertical="center" wrapText="1"/>
    </xf>
    <xf numFmtId="0" fontId="4" fillId="2" borderId="3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/>
    </xf>
    <xf numFmtId="49" fontId="4" fillId="2" borderId="2" xfId="3" applyNumberFormat="1" applyFont="1" applyFill="1" applyBorder="1" applyAlignment="1">
      <alignment horizontal="center" vertical="center"/>
    </xf>
    <xf numFmtId="49" fontId="4" fillId="2" borderId="1" xfId="3" applyNumberFormat="1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wrapText="1"/>
    </xf>
  </cellXfs>
  <cellStyles count="5">
    <cellStyle name="Hipervínculo" xfId="2" builtinId="8"/>
    <cellStyle name="Hyperlink" xfId="4" xr:uid="{515E3DCF-5398-48A2-9D4D-11C873BC5031}"/>
    <cellStyle name="Millares" xfId="1" builtinId="3"/>
    <cellStyle name="Normal" xfId="0" builtinId="0"/>
    <cellStyle name="Normal 270" xfId="3" xr:uid="{99317085-FACF-40EB-A834-09F03FCCC9EB}"/>
  </cellStyles>
  <dxfs count="278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uancarlosgutierreznajarro17@gmail.com" TargetMode="External"/><Relationship Id="rId21" Type="http://schemas.openxmlformats.org/officeDocument/2006/relationships/hyperlink" Target="mailto:seph.2911@gmail.com" TargetMode="External"/><Relationship Id="rId42" Type="http://schemas.openxmlformats.org/officeDocument/2006/relationships/hyperlink" Target="mailto:acloloy2020@gmail.com" TargetMode="External"/><Relationship Id="rId63" Type="http://schemas.openxmlformats.org/officeDocument/2006/relationships/hyperlink" Target="mailto:nils240690@gmail.com" TargetMode="External"/><Relationship Id="rId84" Type="http://schemas.openxmlformats.org/officeDocument/2006/relationships/hyperlink" Target="mailto:julie.acunaobregon@gmail.com" TargetMode="External"/><Relationship Id="rId138" Type="http://schemas.openxmlformats.org/officeDocument/2006/relationships/hyperlink" Target="mailto:elvavaldiviezo04@gmail.com%20" TargetMode="External"/><Relationship Id="rId107" Type="http://schemas.openxmlformats.org/officeDocument/2006/relationships/hyperlink" Target="mailto:jmmarquez296@gmail.com" TargetMode="External"/><Relationship Id="rId11" Type="http://schemas.openxmlformats.org/officeDocument/2006/relationships/hyperlink" Target="mailto:lucuya@hotmail.com" TargetMode="External"/><Relationship Id="rId32" Type="http://schemas.openxmlformats.org/officeDocument/2006/relationships/hyperlink" Target="mailto:tunokri@gmail.com" TargetMode="External"/><Relationship Id="rId53" Type="http://schemas.openxmlformats.org/officeDocument/2006/relationships/hyperlink" Target="mailto:carmenatomed@gmail.com" TargetMode="External"/><Relationship Id="rId74" Type="http://schemas.openxmlformats.org/officeDocument/2006/relationships/hyperlink" Target="mailto:greshia.15@gmail.com" TargetMode="External"/><Relationship Id="rId128" Type="http://schemas.openxmlformats.org/officeDocument/2006/relationships/hyperlink" Target="mailto:ronnymichael1820@gmail.com" TargetMode="External"/><Relationship Id="rId5" Type="http://schemas.openxmlformats.org/officeDocument/2006/relationships/hyperlink" Target="mailto:ebertsanetti16@gmail.com" TargetMode="External"/><Relationship Id="rId90" Type="http://schemas.openxmlformats.org/officeDocument/2006/relationships/hyperlink" Target="mailto:armandoalainhc@gmail.com" TargetMode="External"/><Relationship Id="rId95" Type="http://schemas.openxmlformats.org/officeDocument/2006/relationships/hyperlink" Target="mailto:mangel.rodiqt.iquitos@gmail.com" TargetMode="External"/><Relationship Id="rId22" Type="http://schemas.openxmlformats.org/officeDocument/2006/relationships/hyperlink" Target="mailto:yemenca@hotmail.com" TargetMode="External"/><Relationship Id="rId27" Type="http://schemas.openxmlformats.org/officeDocument/2006/relationships/hyperlink" Target="mailto:cr.tirado730@gmail.com" TargetMode="External"/><Relationship Id="rId43" Type="http://schemas.openxmlformats.org/officeDocument/2006/relationships/hyperlink" Target="mailto:alainmoscosorios@gmail.com" TargetMode="External"/><Relationship Id="rId48" Type="http://schemas.openxmlformats.org/officeDocument/2006/relationships/hyperlink" Target="mailto:segun1890@gmail.com" TargetMode="External"/><Relationship Id="rId64" Type="http://schemas.openxmlformats.org/officeDocument/2006/relationships/hyperlink" Target="mailto:melar2204@gmail.com" TargetMode="External"/><Relationship Id="rId69" Type="http://schemas.openxmlformats.org/officeDocument/2006/relationships/hyperlink" Target="mailto:max.paes01@gmail.com" TargetMode="External"/><Relationship Id="rId113" Type="http://schemas.openxmlformats.org/officeDocument/2006/relationships/hyperlink" Target="mailto:manriquefernandezbacaandrea@gmail.com" TargetMode="External"/><Relationship Id="rId118" Type="http://schemas.openxmlformats.org/officeDocument/2006/relationships/hyperlink" Target="mailto:katty19@gmail.com" TargetMode="External"/><Relationship Id="rId134" Type="http://schemas.openxmlformats.org/officeDocument/2006/relationships/hyperlink" Target="mailto:jhonatanbmotta@gmail.com%20" TargetMode="External"/><Relationship Id="rId139" Type="http://schemas.openxmlformats.org/officeDocument/2006/relationships/hyperlink" Target="mailto:joshue_rayme888@hotmail.com%20" TargetMode="External"/><Relationship Id="rId80" Type="http://schemas.openxmlformats.org/officeDocument/2006/relationships/hyperlink" Target="mailto:strong.jlco@gmail.com" TargetMode="External"/><Relationship Id="rId85" Type="http://schemas.openxmlformats.org/officeDocument/2006/relationships/hyperlink" Target="mailto:fredyriveraluque24995251@gmail.com" TargetMode="External"/><Relationship Id="rId12" Type="http://schemas.openxmlformats.org/officeDocument/2006/relationships/hyperlink" Target="mailto:jacserguerrero@gmail.com" TargetMode="External"/><Relationship Id="rId17" Type="http://schemas.openxmlformats.org/officeDocument/2006/relationships/hyperlink" Target="mailto:roberto.lara@outlook.com" TargetMode="External"/><Relationship Id="rId33" Type="http://schemas.openxmlformats.org/officeDocument/2006/relationships/hyperlink" Target="mailto:carlos.cdem01@gmail.com" TargetMode="External"/><Relationship Id="rId38" Type="http://schemas.openxmlformats.org/officeDocument/2006/relationships/hyperlink" Target="mailto:jhonlunamendieta@gmail.com" TargetMode="External"/><Relationship Id="rId59" Type="http://schemas.openxmlformats.org/officeDocument/2006/relationships/hyperlink" Target="mailto:misaelrimachi47@gmail.com" TargetMode="External"/><Relationship Id="rId103" Type="http://schemas.openxmlformats.org/officeDocument/2006/relationships/hyperlink" Target="mailto:rb.alberca@gmail.com" TargetMode="External"/><Relationship Id="rId108" Type="http://schemas.openxmlformats.org/officeDocument/2006/relationships/hyperlink" Target="mailto:ju.corporativo21@gmail.com" TargetMode="External"/><Relationship Id="rId124" Type="http://schemas.openxmlformats.org/officeDocument/2006/relationships/hyperlink" Target="mailto:lozanoderiq@gmail.com" TargetMode="External"/><Relationship Id="rId129" Type="http://schemas.openxmlformats.org/officeDocument/2006/relationships/hyperlink" Target="mailto:gino20salas@gmail.com" TargetMode="External"/><Relationship Id="rId54" Type="http://schemas.openxmlformats.org/officeDocument/2006/relationships/hyperlink" Target="mailto:claudia.machado.rios@gmail.com" TargetMode="External"/><Relationship Id="rId70" Type="http://schemas.openxmlformats.org/officeDocument/2006/relationships/hyperlink" Target="mailto:jorgejfa27@gmail.com" TargetMode="External"/><Relationship Id="rId75" Type="http://schemas.openxmlformats.org/officeDocument/2006/relationships/hyperlink" Target="mailto:yohelmirccapaespinoza@gmail.com" TargetMode="External"/><Relationship Id="rId91" Type="http://schemas.openxmlformats.org/officeDocument/2006/relationships/hyperlink" Target="mailto:ae.escalante88@gmail.com" TargetMode="External"/><Relationship Id="rId96" Type="http://schemas.openxmlformats.org/officeDocument/2006/relationships/hyperlink" Target="mailto:diegotrillo2704@gmail.com" TargetMode="External"/><Relationship Id="rId140" Type="http://schemas.openxmlformats.org/officeDocument/2006/relationships/hyperlink" Target="mailto:pieroandres.h@gmail.com%20" TargetMode="External"/><Relationship Id="rId145" Type="http://schemas.openxmlformats.org/officeDocument/2006/relationships/printerSettings" Target="../printerSettings/printerSettings1.bin"/><Relationship Id="rId1" Type="http://schemas.openxmlformats.org/officeDocument/2006/relationships/hyperlink" Target="mailto:margot.4540@gmail.com" TargetMode="External"/><Relationship Id="rId6" Type="http://schemas.openxmlformats.org/officeDocument/2006/relationships/hyperlink" Target="mailto:paul18.klp@gmail.com" TargetMode="External"/><Relationship Id="rId23" Type="http://schemas.openxmlformats.org/officeDocument/2006/relationships/hyperlink" Target="mailto:edu_r_21@hotmail.com" TargetMode="External"/><Relationship Id="rId28" Type="http://schemas.openxmlformats.org/officeDocument/2006/relationships/hyperlink" Target="mailto:titolaymeelvisjhon@gmail.com" TargetMode="External"/><Relationship Id="rId49" Type="http://schemas.openxmlformats.org/officeDocument/2006/relationships/hyperlink" Target="mailto:cesar_andres1807@hotmail.com" TargetMode="External"/><Relationship Id="rId114" Type="http://schemas.openxmlformats.org/officeDocument/2006/relationships/hyperlink" Target="mailto:mario.uscamaita.carrasco@gmail.com" TargetMode="External"/><Relationship Id="rId119" Type="http://schemas.openxmlformats.org/officeDocument/2006/relationships/hyperlink" Target="mailto:jhonaaanancaquispe51@gmail.com" TargetMode="External"/><Relationship Id="rId44" Type="http://schemas.openxmlformats.org/officeDocument/2006/relationships/hyperlink" Target="mailto:noheliasilvaganoza@gmail.com" TargetMode="External"/><Relationship Id="rId60" Type="http://schemas.openxmlformats.org/officeDocument/2006/relationships/hyperlink" Target="mailto:faviogl22@gmail.com" TargetMode="External"/><Relationship Id="rId65" Type="http://schemas.openxmlformats.org/officeDocument/2006/relationships/hyperlink" Target="mailto:jsilva.carhuajulca95@gmail.com" TargetMode="External"/><Relationship Id="rId81" Type="http://schemas.openxmlformats.org/officeDocument/2006/relationships/hyperlink" Target="mailto:nicolezunesc@gmail.com" TargetMode="External"/><Relationship Id="rId86" Type="http://schemas.openxmlformats.org/officeDocument/2006/relationships/hyperlink" Target="mailto:juanrojaslara@gmail.com" TargetMode="External"/><Relationship Id="rId130" Type="http://schemas.openxmlformats.org/officeDocument/2006/relationships/hyperlink" Target="mailto:rosse_ch15@hotmail.com" TargetMode="External"/><Relationship Id="rId135" Type="http://schemas.openxmlformats.org/officeDocument/2006/relationships/hyperlink" Target="mailto:rollyml20@gmail.com%20" TargetMode="External"/><Relationship Id="rId13" Type="http://schemas.openxmlformats.org/officeDocument/2006/relationships/hyperlink" Target="mailto:carlos_hidalgo71@yahoo.com" TargetMode="External"/><Relationship Id="rId18" Type="http://schemas.openxmlformats.org/officeDocument/2006/relationships/hyperlink" Target="mailto:pync.im@gmail.com" TargetMode="External"/><Relationship Id="rId39" Type="http://schemas.openxmlformats.org/officeDocument/2006/relationships/hyperlink" Target="mailto:hugocruzadololoy@gmail.com" TargetMode="External"/><Relationship Id="rId109" Type="http://schemas.openxmlformats.org/officeDocument/2006/relationships/hyperlink" Target="mailto:kuper.huisa.fernandez@gmail.com" TargetMode="External"/><Relationship Id="rId34" Type="http://schemas.openxmlformats.org/officeDocument/2006/relationships/hyperlink" Target="mailto:cinndy.apr@gmail.com" TargetMode="External"/><Relationship Id="rId50" Type="http://schemas.openxmlformats.org/officeDocument/2006/relationships/hyperlink" Target="mailto:juanguille171095@gmail.com" TargetMode="External"/><Relationship Id="rId55" Type="http://schemas.openxmlformats.org/officeDocument/2006/relationships/hyperlink" Target="mailto:marcelovenerov@gmail.com" TargetMode="External"/><Relationship Id="rId76" Type="http://schemas.openxmlformats.org/officeDocument/2006/relationships/hyperlink" Target="mailto:sjhonkendrik1996@gmail.com" TargetMode="External"/><Relationship Id="rId97" Type="http://schemas.openxmlformats.org/officeDocument/2006/relationships/hyperlink" Target="mailto:johanramos20208@gmail.com" TargetMode="External"/><Relationship Id="rId104" Type="http://schemas.openxmlformats.org/officeDocument/2006/relationships/hyperlink" Target="mailto:cristianalberto.ph99@gmail.com" TargetMode="External"/><Relationship Id="rId120" Type="http://schemas.openxmlformats.org/officeDocument/2006/relationships/hyperlink" Target="mailto:carlosquispe080325@gmail.com" TargetMode="External"/><Relationship Id="rId125" Type="http://schemas.openxmlformats.org/officeDocument/2006/relationships/hyperlink" Target="mailto:lcabanillasvilchez@gmail.com" TargetMode="External"/><Relationship Id="rId141" Type="http://schemas.openxmlformats.org/officeDocument/2006/relationships/hyperlink" Target="mailto:carmenbernanlepalomino@gmail.com" TargetMode="External"/><Relationship Id="rId146" Type="http://schemas.openxmlformats.org/officeDocument/2006/relationships/vmlDrawing" Target="../drawings/vmlDrawing1.vml"/><Relationship Id="rId7" Type="http://schemas.openxmlformats.org/officeDocument/2006/relationships/hyperlink" Target="mailto:fiore23mesa@gmail.com" TargetMode="External"/><Relationship Id="rId71" Type="http://schemas.openxmlformats.org/officeDocument/2006/relationships/hyperlink" Target="mailto:jumegarel@yahoo.es" TargetMode="External"/><Relationship Id="rId92" Type="http://schemas.openxmlformats.org/officeDocument/2006/relationships/hyperlink" Target="mailto:gustavo080398@gmail.com" TargetMode="External"/><Relationship Id="rId2" Type="http://schemas.openxmlformats.org/officeDocument/2006/relationships/hyperlink" Target="mailto:antenorapazatito3@gmail.com" TargetMode="External"/><Relationship Id="rId29" Type="http://schemas.openxmlformats.org/officeDocument/2006/relationships/hyperlink" Target="mailto:ander.zarate@outlook.es" TargetMode="External"/><Relationship Id="rId24" Type="http://schemas.openxmlformats.org/officeDocument/2006/relationships/hyperlink" Target="mailto:maisefr716@gmail.com" TargetMode="External"/><Relationship Id="rId40" Type="http://schemas.openxmlformats.org/officeDocument/2006/relationships/hyperlink" Target="mailto:evillanuevag@pucp.pe" TargetMode="External"/><Relationship Id="rId45" Type="http://schemas.openxmlformats.org/officeDocument/2006/relationships/hyperlink" Target="mailto:144952@unsaac.edu.pe" TargetMode="External"/><Relationship Id="rId66" Type="http://schemas.openxmlformats.org/officeDocument/2006/relationships/hyperlink" Target="mailto:yonercristian.obregon@gmail.com" TargetMode="External"/><Relationship Id="rId87" Type="http://schemas.openxmlformats.org/officeDocument/2006/relationships/hyperlink" Target="mailto:josevillegas2411@gmai.com" TargetMode="External"/><Relationship Id="rId110" Type="http://schemas.openxmlformats.org/officeDocument/2006/relationships/hyperlink" Target="mailto:elvis220595@gmail.com" TargetMode="External"/><Relationship Id="rId115" Type="http://schemas.openxmlformats.org/officeDocument/2006/relationships/hyperlink" Target="mailto:centurionjair23@gmail.com" TargetMode="External"/><Relationship Id="rId131" Type="http://schemas.openxmlformats.org/officeDocument/2006/relationships/hyperlink" Target="mailto:millenicabrera@gmail.com" TargetMode="External"/><Relationship Id="rId136" Type="http://schemas.openxmlformats.org/officeDocument/2006/relationships/hyperlink" Target="mailto:krissgp5@gmail.com%20" TargetMode="External"/><Relationship Id="rId61" Type="http://schemas.openxmlformats.org/officeDocument/2006/relationships/hyperlink" Target="mailto:katherinevicente01@gmail.com" TargetMode="External"/><Relationship Id="rId82" Type="http://schemas.openxmlformats.org/officeDocument/2006/relationships/hyperlink" Target="mailto:rogerquispefuentes57@gmail.com" TargetMode="External"/><Relationship Id="rId19" Type="http://schemas.openxmlformats.org/officeDocument/2006/relationships/hyperlink" Target="mailto:lcnoriegav@gmail.com" TargetMode="External"/><Relationship Id="rId14" Type="http://schemas.openxmlformats.org/officeDocument/2006/relationships/hyperlink" Target="mailto:hcyovana@hotmail.com" TargetMode="External"/><Relationship Id="rId30" Type="http://schemas.openxmlformats.org/officeDocument/2006/relationships/hyperlink" Target="mailto:acuario18_07@hotmail.com" TargetMode="External"/><Relationship Id="rId35" Type="http://schemas.openxmlformats.org/officeDocument/2006/relationships/hyperlink" Target="mailto:henryhuacacosorio@gmail.com" TargetMode="External"/><Relationship Id="rId56" Type="http://schemas.openxmlformats.org/officeDocument/2006/relationships/hyperlink" Target="mailto:tacusimazatammy@gmail.com" TargetMode="External"/><Relationship Id="rId77" Type="http://schemas.openxmlformats.org/officeDocument/2006/relationships/hyperlink" Target="mailto:gianella.fuentes147@gmail.com" TargetMode="External"/><Relationship Id="rId100" Type="http://schemas.openxmlformats.org/officeDocument/2006/relationships/hyperlink" Target="mailto:keilavrgs18@gmail.com" TargetMode="External"/><Relationship Id="rId105" Type="http://schemas.openxmlformats.org/officeDocument/2006/relationships/hyperlink" Target="mailto:lizbethchilcon@gmail.com" TargetMode="External"/><Relationship Id="rId126" Type="http://schemas.openxmlformats.org/officeDocument/2006/relationships/hyperlink" Target="mailto:brayansotacurobenites@gmail.com" TargetMode="External"/><Relationship Id="rId147" Type="http://schemas.openxmlformats.org/officeDocument/2006/relationships/comments" Target="../comments1.xml"/><Relationship Id="rId8" Type="http://schemas.openxmlformats.org/officeDocument/2006/relationships/hyperlink" Target="mailto:frankoliveradelacruz@gmail.com" TargetMode="External"/><Relationship Id="rId51" Type="http://schemas.openxmlformats.org/officeDocument/2006/relationships/hyperlink" Target="mailto:ejquispe@yahoo.com" TargetMode="External"/><Relationship Id="rId72" Type="http://schemas.openxmlformats.org/officeDocument/2006/relationships/hyperlink" Target="mailto:aureliomendez12@gmail.com" TargetMode="External"/><Relationship Id="rId93" Type="http://schemas.openxmlformats.org/officeDocument/2006/relationships/hyperlink" Target="mailto:antoniacastillo93@hotmail.com" TargetMode="External"/><Relationship Id="rId98" Type="http://schemas.openxmlformats.org/officeDocument/2006/relationships/hyperlink" Target="mailto:cosmo_07_97@outlook.es" TargetMode="External"/><Relationship Id="rId121" Type="http://schemas.openxmlformats.org/officeDocument/2006/relationships/hyperlink" Target="mailto:orteganacoveneoler4@gmail.com" TargetMode="External"/><Relationship Id="rId142" Type="http://schemas.openxmlformats.org/officeDocument/2006/relationships/hyperlink" Target="mailto:ing.castanedalopez@gmail.com" TargetMode="External"/><Relationship Id="rId3" Type="http://schemas.openxmlformats.org/officeDocument/2006/relationships/hyperlink" Target="mailto:robert.palma@pucp.edu.pe" TargetMode="External"/><Relationship Id="rId25" Type="http://schemas.openxmlformats.org/officeDocument/2006/relationships/hyperlink" Target="mailto:alvaro_delcastillo@hotmail.com" TargetMode="External"/><Relationship Id="rId46" Type="http://schemas.openxmlformats.org/officeDocument/2006/relationships/hyperlink" Target="mailto:oclocho12@gmail.com" TargetMode="External"/><Relationship Id="rId67" Type="http://schemas.openxmlformats.org/officeDocument/2006/relationships/hyperlink" Target="mailto:gar21ccm@gmail.com" TargetMode="External"/><Relationship Id="rId116" Type="http://schemas.openxmlformats.org/officeDocument/2006/relationships/hyperlink" Target="mailto:villajhin@gmail.com" TargetMode="External"/><Relationship Id="rId137" Type="http://schemas.openxmlformats.org/officeDocument/2006/relationships/hyperlink" Target="mailto:carlosucapisfil@gmail.com%20" TargetMode="External"/><Relationship Id="rId20" Type="http://schemas.openxmlformats.org/officeDocument/2006/relationships/hyperlink" Target="mailto:poncedeleonmario@hotmail.com" TargetMode="External"/><Relationship Id="rId41" Type="http://schemas.openxmlformats.org/officeDocument/2006/relationships/hyperlink" Target="mailto:orlandohamanccaybaez001@gmail.com" TargetMode="External"/><Relationship Id="rId62" Type="http://schemas.openxmlformats.org/officeDocument/2006/relationships/hyperlink" Target="mailto:danyechezava@gmail.com" TargetMode="External"/><Relationship Id="rId83" Type="http://schemas.openxmlformats.org/officeDocument/2006/relationships/hyperlink" Target="mailto:loayzalaymemarivy@gmail.com" TargetMode="External"/><Relationship Id="rId88" Type="http://schemas.openxmlformats.org/officeDocument/2006/relationships/hyperlink" Target="mailto:frank.rodriguez.v7@gmail.com" TargetMode="External"/><Relationship Id="rId111" Type="http://schemas.openxmlformats.org/officeDocument/2006/relationships/hyperlink" Target="mailto:jhajaira_zv96@hotmail.com" TargetMode="External"/><Relationship Id="rId132" Type="http://schemas.openxmlformats.org/officeDocument/2006/relationships/hyperlink" Target="mailto:eflopezt@gmail.com%20" TargetMode="External"/><Relationship Id="rId15" Type="http://schemas.openxmlformats.org/officeDocument/2006/relationships/hyperlink" Target="mailto:marco.lrsa@gmail.com" TargetMode="External"/><Relationship Id="rId36" Type="http://schemas.openxmlformats.org/officeDocument/2006/relationships/hyperlink" Target="mailto:sugar.robinson89@gmail.com" TargetMode="External"/><Relationship Id="rId57" Type="http://schemas.openxmlformats.org/officeDocument/2006/relationships/hyperlink" Target="mailto:benjaminpastor2017@gmail.com" TargetMode="External"/><Relationship Id="rId106" Type="http://schemas.openxmlformats.org/officeDocument/2006/relationships/hyperlink" Target="mailto:villanuevaanguloj@gmail.com" TargetMode="External"/><Relationship Id="rId127" Type="http://schemas.openxmlformats.org/officeDocument/2006/relationships/hyperlink" Target="mailto:kervintial@gmail.com" TargetMode="External"/><Relationship Id="rId10" Type="http://schemas.openxmlformats.org/officeDocument/2006/relationships/hyperlink" Target="mailto:katty_c_ch@hotmail.com" TargetMode="External"/><Relationship Id="rId31" Type="http://schemas.openxmlformats.org/officeDocument/2006/relationships/hyperlink" Target="mailto:lexisqch@hotmail.com" TargetMode="External"/><Relationship Id="rId52" Type="http://schemas.openxmlformats.org/officeDocument/2006/relationships/hyperlink" Target="mailto:gerald.estradam@gmail.com" TargetMode="External"/><Relationship Id="rId73" Type="http://schemas.openxmlformats.org/officeDocument/2006/relationships/hyperlink" Target="mailto:edsonpiop@gmail.com" TargetMode="External"/><Relationship Id="rId78" Type="http://schemas.openxmlformats.org/officeDocument/2006/relationships/hyperlink" Target="mailto:ednig11@gmail.com" TargetMode="External"/><Relationship Id="rId94" Type="http://schemas.openxmlformats.org/officeDocument/2006/relationships/hyperlink" Target="mailto:williamkenerquispevillalba@hotmail.com" TargetMode="External"/><Relationship Id="rId99" Type="http://schemas.openxmlformats.org/officeDocument/2006/relationships/hyperlink" Target="mailto:ayrtonggonzales@gmail.com" TargetMode="External"/><Relationship Id="rId101" Type="http://schemas.openxmlformats.org/officeDocument/2006/relationships/hyperlink" Target="mailto:cesar.canrios@gmail.com" TargetMode="External"/><Relationship Id="rId122" Type="http://schemas.openxmlformats.org/officeDocument/2006/relationships/hyperlink" Target="mailto:infinitejhosep,12@gmail.com" TargetMode="External"/><Relationship Id="rId143" Type="http://schemas.openxmlformats.org/officeDocument/2006/relationships/hyperlink" Target="mailto:ramirez.94tars@gmail.com" TargetMode="External"/><Relationship Id="rId4" Type="http://schemas.openxmlformats.org/officeDocument/2006/relationships/hyperlink" Target="mailto:carlosomar_espejo@hotmail.com" TargetMode="External"/><Relationship Id="rId9" Type="http://schemas.openxmlformats.org/officeDocument/2006/relationships/hyperlink" Target="mailto:nickollbedoya.a@gmail.com" TargetMode="External"/><Relationship Id="rId26" Type="http://schemas.openxmlformats.org/officeDocument/2006/relationships/hyperlink" Target="mailto:adrite1999@gmail.com" TargetMode="External"/><Relationship Id="rId47" Type="http://schemas.openxmlformats.org/officeDocument/2006/relationships/hyperlink" Target="mailto:silvapuellesyuly@gmail.com" TargetMode="External"/><Relationship Id="rId68" Type="http://schemas.openxmlformats.org/officeDocument/2006/relationships/hyperlink" Target="mailto:alfhf31997@gmail.com" TargetMode="External"/><Relationship Id="rId89" Type="http://schemas.openxmlformats.org/officeDocument/2006/relationships/hyperlink" Target="mailto:ajpocohuanca@gmail.com" TargetMode="External"/><Relationship Id="rId112" Type="http://schemas.openxmlformats.org/officeDocument/2006/relationships/hyperlink" Target="mailto:talledomariana7@gmail.com" TargetMode="External"/><Relationship Id="rId133" Type="http://schemas.openxmlformats.org/officeDocument/2006/relationships/hyperlink" Target="mailto:caas30@hotmail.com%20" TargetMode="External"/><Relationship Id="rId16" Type="http://schemas.openxmlformats.org/officeDocument/2006/relationships/hyperlink" Target="mailto:glendaoyarce@gmail.com" TargetMode="External"/><Relationship Id="rId37" Type="http://schemas.openxmlformats.org/officeDocument/2006/relationships/hyperlink" Target="mailto:carlos.castro@crcll.com.pe" TargetMode="External"/><Relationship Id="rId58" Type="http://schemas.openxmlformats.org/officeDocument/2006/relationships/hyperlink" Target="mailto:enderson.huaytan0112@gmail.com" TargetMode="External"/><Relationship Id="rId79" Type="http://schemas.openxmlformats.org/officeDocument/2006/relationships/hyperlink" Target="mailto:yvoruiz1@hotmail.com" TargetMode="External"/><Relationship Id="rId102" Type="http://schemas.openxmlformats.org/officeDocument/2006/relationships/hyperlink" Target="mailto:irma.llapapasca@gmail.com" TargetMode="External"/><Relationship Id="rId123" Type="http://schemas.openxmlformats.org/officeDocument/2006/relationships/hyperlink" Target="mailto:krissvic_7@hotmail.com" TargetMode="External"/><Relationship Id="rId144" Type="http://schemas.openxmlformats.org/officeDocument/2006/relationships/hyperlink" Target="mailto:willy_35@hot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lexcabello2309@gmail.com" TargetMode="External"/><Relationship Id="rId21" Type="http://schemas.openxmlformats.org/officeDocument/2006/relationships/hyperlink" Target="mailto:fredysardon@hotmail.com" TargetMode="External"/><Relationship Id="rId42" Type="http://schemas.openxmlformats.org/officeDocument/2006/relationships/hyperlink" Target="mailto:wrd_7@hotmail.com" TargetMode="External"/><Relationship Id="rId63" Type="http://schemas.openxmlformats.org/officeDocument/2006/relationships/hyperlink" Target="mailto:lcsantacruzb@gmail.com" TargetMode="External"/><Relationship Id="rId84" Type="http://schemas.openxmlformats.org/officeDocument/2006/relationships/hyperlink" Target="mailto:armandomunosmejia@gmail.com" TargetMode="External"/><Relationship Id="rId138" Type="http://schemas.openxmlformats.org/officeDocument/2006/relationships/hyperlink" Target="mailto:anthonygoud3@gmail.com" TargetMode="External"/><Relationship Id="rId159" Type="http://schemas.openxmlformats.org/officeDocument/2006/relationships/hyperlink" Target="mailto:werm1705@gmail.com" TargetMode="External"/><Relationship Id="rId170" Type="http://schemas.openxmlformats.org/officeDocument/2006/relationships/hyperlink" Target="mailto:gflozada@gmail.com" TargetMode="External"/><Relationship Id="rId107" Type="http://schemas.openxmlformats.org/officeDocument/2006/relationships/hyperlink" Target="mailto:darwinricardoberrios@gmail.com" TargetMode="External"/><Relationship Id="rId11" Type="http://schemas.openxmlformats.org/officeDocument/2006/relationships/hyperlink" Target="mailto:ronnymichael1820@gmail.com" TargetMode="External"/><Relationship Id="rId32" Type="http://schemas.openxmlformats.org/officeDocument/2006/relationships/hyperlink" Target="mailto:leopece7@gmail.com" TargetMode="External"/><Relationship Id="rId53" Type="http://schemas.openxmlformats.org/officeDocument/2006/relationships/hyperlink" Target="mailto:roald1979@gmail.com" TargetMode="External"/><Relationship Id="rId74" Type="http://schemas.openxmlformats.org/officeDocument/2006/relationships/hyperlink" Target="mailto:rpastor2702@gmail.com" TargetMode="External"/><Relationship Id="rId128" Type="http://schemas.openxmlformats.org/officeDocument/2006/relationships/hyperlink" Target="mailto:ferchauccaquispe@gmail.com" TargetMode="External"/><Relationship Id="rId149" Type="http://schemas.openxmlformats.org/officeDocument/2006/relationships/hyperlink" Target="mailto:ivethvisa2608@gmail.com" TargetMode="External"/><Relationship Id="rId5" Type="http://schemas.openxmlformats.org/officeDocument/2006/relationships/hyperlink" Target="mailto:claudiaholgado@outlook.com" TargetMode="External"/><Relationship Id="rId95" Type="http://schemas.openxmlformats.org/officeDocument/2006/relationships/hyperlink" Target="mailto:leidyvanezaguzmanhuanca@gmail.com" TargetMode="External"/><Relationship Id="rId160" Type="http://schemas.openxmlformats.org/officeDocument/2006/relationships/hyperlink" Target="mailto:josuereyespadua99@gmail.com" TargetMode="External"/><Relationship Id="rId22" Type="http://schemas.openxmlformats.org/officeDocument/2006/relationships/hyperlink" Target="mailto:fabian230209@gmail.com" TargetMode="External"/><Relationship Id="rId43" Type="http://schemas.openxmlformats.org/officeDocument/2006/relationships/hyperlink" Target="mailto:markoleon2014@gmail.com" TargetMode="External"/><Relationship Id="rId64" Type="http://schemas.openxmlformats.org/officeDocument/2006/relationships/hyperlink" Target="mailto:frontier_1306@hotmail.com" TargetMode="External"/><Relationship Id="rId118" Type="http://schemas.openxmlformats.org/officeDocument/2006/relationships/hyperlink" Target="mailto:dahuatito84@gmail.com" TargetMode="External"/><Relationship Id="rId139" Type="http://schemas.openxmlformats.org/officeDocument/2006/relationships/hyperlink" Target="mailto:napoleonmc98@gmail.com" TargetMode="External"/><Relationship Id="rId85" Type="http://schemas.openxmlformats.org/officeDocument/2006/relationships/hyperlink" Target="mailto:paty081208@gmail.com" TargetMode="External"/><Relationship Id="rId150" Type="http://schemas.openxmlformats.org/officeDocument/2006/relationships/hyperlink" Target="mailto:benave.ben@gmail.com" TargetMode="External"/><Relationship Id="rId171" Type="http://schemas.openxmlformats.org/officeDocument/2006/relationships/hyperlink" Target="mailto:christianme3@gmail.com" TargetMode="External"/><Relationship Id="rId12" Type="http://schemas.openxmlformats.org/officeDocument/2006/relationships/hyperlink" Target="mailto:marcelovenerov@gmail.com" TargetMode="External"/><Relationship Id="rId33" Type="http://schemas.openxmlformats.org/officeDocument/2006/relationships/hyperlink" Target="mailto:maytacutia@gmail.com" TargetMode="External"/><Relationship Id="rId108" Type="http://schemas.openxmlformats.org/officeDocument/2006/relationships/hyperlink" Target="mailto:migueljuniorsalashuambo61@gmail.com" TargetMode="External"/><Relationship Id="rId129" Type="http://schemas.openxmlformats.org/officeDocument/2006/relationships/hyperlink" Target="mailto:ortizserranoedwinjeremy@gmail.com" TargetMode="External"/><Relationship Id="rId54" Type="http://schemas.openxmlformats.org/officeDocument/2006/relationships/hyperlink" Target="mailto:edgardvidaurre@gmail.com" TargetMode="External"/><Relationship Id="rId75" Type="http://schemas.openxmlformats.org/officeDocument/2006/relationships/hyperlink" Target="mailto:jact080799@outlook.com" TargetMode="External"/><Relationship Id="rId96" Type="http://schemas.openxmlformats.org/officeDocument/2006/relationships/hyperlink" Target="mailto:yelenabp74@gmail.com" TargetMode="External"/><Relationship Id="rId140" Type="http://schemas.openxmlformats.org/officeDocument/2006/relationships/hyperlink" Target="mailto:percypenapalomino193.6@gmail.com" TargetMode="External"/><Relationship Id="rId161" Type="http://schemas.openxmlformats.org/officeDocument/2006/relationships/hyperlink" Target="mailto:ferzavaletap@gmail.com" TargetMode="External"/><Relationship Id="rId6" Type="http://schemas.openxmlformats.org/officeDocument/2006/relationships/hyperlink" Target="mailto:arnoldhuamanguilla@gmail.com" TargetMode="External"/><Relationship Id="rId23" Type="http://schemas.openxmlformats.org/officeDocument/2006/relationships/hyperlink" Target="mailto:yaneossio@gmail.com" TargetMode="External"/><Relationship Id="rId28" Type="http://schemas.openxmlformats.org/officeDocument/2006/relationships/hyperlink" Target="mailto:jorgechume7@gmail.com" TargetMode="External"/><Relationship Id="rId49" Type="http://schemas.openxmlformats.org/officeDocument/2006/relationships/hyperlink" Target="mailto:wilderpinedoc@gmail.com" TargetMode="External"/><Relationship Id="rId114" Type="http://schemas.openxmlformats.org/officeDocument/2006/relationships/hyperlink" Target="mailto:vcuellar@consorciosrt.com" TargetMode="External"/><Relationship Id="rId119" Type="http://schemas.openxmlformats.org/officeDocument/2006/relationships/hyperlink" Target="mailto:robertogalvezmelendez@gmail.com" TargetMode="External"/><Relationship Id="rId44" Type="http://schemas.openxmlformats.org/officeDocument/2006/relationships/hyperlink" Target="mailto:rolopez7919@gmail.com" TargetMode="External"/><Relationship Id="rId60" Type="http://schemas.openxmlformats.org/officeDocument/2006/relationships/hyperlink" Target="mailto:ma.rodriguezcoronel@gmail.com" TargetMode="External"/><Relationship Id="rId65" Type="http://schemas.openxmlformats.org/officeDocument/2006/relationships/hyperlink" Target="mailto:c.segura.gb@gmail.com" TargetMode="External"/><Relationship Id="rId81" Type="http://schemas.openxmlformats.org/officeDocument/2006/relationships/hyperlink" Target="mailto:ronaldootazu2@gmail.com" TargetMode="External"/><Relationship Id="rId86" Type="http://schemas.openxmlformats.org/officeDocument/2006/relationships/hyperlink" Target="mailto:jterrones8402@gmail.com" TargetMode="External"/><Relationship Id="rId130" Type="http://schemas.openxmlformats.org/officeDocument/2006/relationships/hyperlink" Target="mailto:ricardoleon.hm@gmail.com" TargetMode="External"/><Relationship Id="rId135" Type="http://schemas.openxmlformats.org/officeDocument/2006/relationships/hyperlink" Target="mailto:yorcharroyomanrique@gmail.com" TargetMode="External"/><Relationship Id="rId151" Type="http://schemas.openxmlformats.org/officeDocument/2006/relationships/hyperlink" Target="mailto:car.ps1605@gmail.com" TargetMode="External"/><Relationship Id="rId156" Type="http://schemas.openxmlformats.org/officeDocument/2006/relationships/hyperlink" Target="mailto:jeylopezxd124@gmail.com" TargetMode="External"/><Relationship Id="rId177" Type="http://schemas.openxmlformats.org/officeDocument/2006/relationships/comments" Target="../comments2.xml"/><Relationship Id="rId172" Type="http://schemas.openxmlformats.org/officeDocument/2006/relationships/hyperlink" Target="mailto:hegel.mqp@gmail.com" TargetMode="External"/><Relationship Id="rId13" Type="http://schemas.openxmlformats.org/officeDocument/2006/relationships/hyperlink" Target="mailto:nievesantonieta07@gmail.com" TargetMode="External"/><Relationship Id="rId18" Type="http://schemas.openxmlformats.org/officeDocument/2006/relationships/hyperlink" Target="mailto:cesarcano2005@gmail.com" TargetMode="External"/><Relationship Id="rId39" Type="http://schemas.openxmlformats.org/officeDocument/2006/relationships/hyperlink" Target="mailto:valeria.cecilia.fuentes.valdivia@gmail.com" TargetMode="External"/><Relationship Id="rId109" Type="http://schemas.openxmlformats.org/officeDocument/2006/relationships/hyperlink" Target="mailto:frans_mj@outlook.com" TargetMode="External"/><Relationship Id="rId34" Type="http://schemas.openxmlformats.org/officeDocument/2006/relationships/hyperlink" Target="mailto:xp_kevin@hotmail.es" TargetMode="External"/><Relationship Id="rId50" Type="http://schemas.openxmlformats.org/officeDocument/2006/relationships/hyperlink" Target="mailto:marian1799@hotmail.com" TargetMode="External"/><Relationship Id="rId55" Type="http://schemas.openxmlformats.org/officeDocument/2006/relationships/hyperlink" Target="mailto:guillermo.yato@gmail.com" TargetMode="External"/><Relationship Id="rId76" Type="http://schemas.openxmlformats.org/officeDocument/2006/relationships/hyperlink" Target="mailto:renteria0404@gmail.com" TargetMode="External"/><Relationship Id="rId97" Type="http://schemas.openxmlformats.org/officeDocument/2006/relationships/hyperlink" Target="mailto:m.alejandra.zvalencia@gmail.com" TargetMode="External"/><Relationship Id="rId104" Type="http://schemas.openxmlformats.org/officeDocument/2006/relationships/hyperlink" Target="mailto:jmilton.vargasr@gmail.com" TargetMode="External"/><Relationship Id="rId120" Type="http://schemas.openxmlformats.org/officeDocument/2006/relationships/hyperlink" Target="mailto:jorgechuque82@gmail.com" TargetMode="External"/><Relationship Id="rId125" Type="http://schemas.openxmlformats.org/officeDocument/2006/relationships/hyperlink" Target="mailto:willysarrigeidres@gmail.com" TargetMode="External"/><Relationship Id="rId141" Type="http://schemas.openxmlformats.org/officeDocument/2006/relationships/hyperlink" Target="mailto:justinopuma01@gmail.com" TargetMode="External"/><Relationship Id="rId146" Type="http://schemas.openxmlformats.org/officeDocument/2006/relationships/hyperlink" Target="mailto:larkyseosky@gmail.com" TargetMode="External"/><Relationship Id="rId167" Type="http://schemas.openxmlformats.org/officeDocument/2006/relationships/hyperlink" Target="mailto:catalancervantesromario@gmail.com" TargetMode="External"/><Relationship Id="rId7" Type="http://schemas.openxmlformats.org/officeDocument/2006/relationships/hyperlink" Target="mailto:tatiana.mmartinezc@gmail.com" TargetMode="External"/><Relationship Id="rId71" Type="http://schemas.openxmlformats.org/officeDocument/2006/relationships/hyperlink" Target="mailto:olgareaa2084@gmail.com" TargetMode="External"/><Relationship Id="rId92" Type="http://schemas.openxmlformats.org/officeDocument/2006/relationships/hyperlink" Target="mailto:jorge.subauste@gmail.com" TargetMode="External"/><Relationship Id="rId162" Type="http://schemas.openxmlformats.org/officeDocument/2006/relationships/hyperlink" Target="mailto:christian.rojas.r@outlook.com" TargetMode="External"/><Relationship Id="rId2" Type="http://schemas.openxmlformats.org/officeDocument/2006/relationships/hyperlink" Target="mailto:yan802086@gamil.com" TargetMode="External"/><Relationship Id="rId29" Type="http://schemas.openxmlformats.org/officeDocument/2006/relationships/hyperlink" Target="mailto:elioandre95@hotmail.com" TargetMode="External"/><Relationship Id="rId24" Type="http://schemas.openxmlformats.org/officeDocument/2006/relationships/hyperlink" Target="mailto:guilleco95@gmail.com" TargetMode="External"/><Relationship Id="rId40" Type="http://schemas.openxmlformats.org/officeDocument/2006/relationships/hyperlink" Target="mailto:inggonzales09@gmail.com" TargetMode="External"/><Relationship Id="rId45" Type="http://schemas.openxmlformats.org/officeDocument/2006/relationships/hyperlink" Target="mailto:mellqui29@gmail.com" TargetMode="External"/><Relationship Id="rId66" Type="http://schemas.openxmlformats.org/officeDocument/2006/relationships/hyperlink" Target="mailto:yaninauv7@gmail.com" TargetMode="External"/><Relationship Id="rId87" Type="http://schemas.openxmlformats.org/officeDocument/2006/relationships/hyperlink" Target="mailto:jhenrypalomino22@gmail.com" TargetMode="External"/><Relationship Id="rId110" Type="http://schemas.openxmlformats.org/officeDocument/2006/relationships/hyperlink" Target="mailto:sylviosanguinetti@gmai.com" TargetMode="External"/><Relationship Id="rId115" Type="http://schemas.openxmlformats.org/officeDocument/2006/relationships/hyperlink" Target="mailto:megutierrez@consorciosrt.com" TargetMode="External"/><Relationship Id="rId131" Type="http://schemas.openxmlformats.org/officeDocument/2006/relationships/hyperlink" Target="mailto:fernando.quispesala@gmail.com" TargetMode="External"/><Relationship Id="rId136" Type="http://schemas.openxmlformats.org/officeDocument/2006/relationships/hyperlink" Target="mailto:richardhurtado0401@gmail.com" TargetMode="External"/><Relationship Id="rId157" Type="http://schemas.openxmlformats.org/officeDocument/2006/relationships/hyperlink" Target="mailto:pumamollov@gmaiil.com" TargetMode="External"/><Relationship Id="rId61" Type="http://schemas.openxmlformats.org/officeDocument/2006/relationships/hyperlink" Target="mailto:osaavedra@pucp.pe" TargetMode="External"/><Relationship Id="rId82" Type="http://schemas.openxmlformats.org/officeDocument/2006/relationships/hyperlink" Target="mailto:ayala995164006@gmail.com" TargetMode="External"/><Relationship Id="rId152" Type="http://schemas.openxmlformats.org/officeDocument/2006/relationships/hyperlink" Target="mailto:falor41@hotmail.com" TargetMode="External"/><Relationship Id="rId173" Type="http://schemas.openxmlformats.org/officeDocument/2006/relationships/hyperlink" Target="mailto:ramirezrodriguezfreddy20@gmail.com" TargetMode="External"/><Relationship Id="rId19" Type="http://schemas.openxmlformats.org/officeDocument/2006/relationships/hyperlink" Target="mailto:mguzman@consorciosrt.com" TargetMode="External"/><Relationship Id="rId14" Type="http://schemas.openxmlformats.org/officeDocument/2006/relationships/hyperlink" Target="mailto:amorin11.laac@hotmail.com" TargetMode="External"/><Relationship Id="rId30" Type="http://schemas.openxmlformats.org/officeDocument/2006/relationships/hyperlink" Target="mailto:jahir123@gmail.com" TargetMode="External"/><Relationship Id="rId35" Type="http://schemas.openxmlformats.org/officeDocument/2006/relationships/hyperlink" Target="mailto:jhondey1515@gmail.com" TargetMode="External"/><Relationship Id="rId56" Type="http://schemas.openxmlformats.org/officeDocument/2006/relationships/hyperlink" Target="mailto:vimesal@hotmail.com" TargetMode="External"/><Relationship Id="rId77" Type="http://schemas.openxmlformats.org/officeDocument/2006/relationships/hyperlink" Target="mailto:g.elemental.d@gmail.com" TargetMode="External"/><Relationship Id="rId100" Type="http://schemas.openxmlformats.org/officeDocument/2006/relationships/hyperlink" Target="mailto:rob.alarcon07@gmail.com" TargetMode="External"/><Relationship Id="rId105" Type="http://schemas.openxmlformats.org/officeDocument/2006/relationships/hyperlink" Target="mailto:arq.mancoramos@gmail.com" TargetMode="External"/><Relationship Id="rId126" Type="http://schemas.openxmlformats.org/officeDocument/2006/relationships/hyperlink" Target="mailto:guillencarrascoyordy@gmail.com" TargetMode="External"/><Relationship Id="rId147" Type="http://schemas.openxmlformats.org/officeDocument/2006/relationships/hyperlink" Target="mailto:lindsay.gonzales.coor@gmail.com" TargetMode="External"/><Relationship Id="rId168" Type="http://schemas.openxmlformats.org/officeDocument/2006/relationships/hyperlink" Target="mailto:jcruzd.98@gmail.com" TargetMode="External"/><Relationship Id="rId8" Type="http://schemas.openxmlformats.org/officeDocument/2006/relationships/hyperlink" Target="mailto:anibalquispecusirimay34@gmail.com" TargetMode="External"/><Relationship Id="rId51" Type="http://schemas.openxmlformats.org/officeDocument/2006/relationships/hyperlink" Target="mailto:hibethrodriguezneyra@gmail.com" TargetMode="External"/><Relationship Id="rId72" Type="http://schemas.openxmlformats.org/officeDocument/2006/relationships/hyperlink" Target="mailto:angela.2001.nicole@outlook.es" TargetMode="External"/><Relationship Id="rId93" Type="http://schemas.openxmlformats.org/officeDocument/2006/relationships/hyperlink" Target="mailto:bjingemiero@gmail.com" TargetMode="External"/><Relationship Id="rId98" Type="http://schemas.openxmlformats.org/officeDocument/2006/relationships/hyperlink" Target="mailto:moi131219@gmail.com" TargetMode="External"/><Relationship Id="rId121" Type="http://schemas.openxmlformats.org/officeDocument/2006/relationships/hyperlink" Target="mailto:bardalesjordan32@gmail.com" TargetMode="External"/><Relationship Id="rId142" Type="http://schemas.openxmlformats.org/officeDocument/2006/relationships/hyperlink" Target="mailto:brykensai@gmail.com" TargetMode="External"/><Relationship Id="rId163" Type="http://schemas.openxmlformats.org/officeDocument/2006/relationships/hyperlink" Target="mailto:vargas.carpio@hotmail.com" TargetMode="External"/><Relationship Id="rId3" Type="http://schemas.openxmlformats.org/officeDocument/2006/relationships/hyperlink" Target="mailto:frantyleonel@gmail.com" TargetMode="External"/><Relationship Id="rId25" Type="http://schemas.openxmlformats.org/officeDocument/2006/relationships/hyperlink" Target="mailto:peter.arquitectura@gmail.com" TargetMode="External"/><Relationship Id="rId46" Type="http://schemas.openxmlformats.org/officeDocument/2006/relationships/hyperlink" Target="mailto:danitza.imq@gmail.com" TargetMode="External"/><Relationship Id="rId67" Type="http://schemas.openxmlformats.org/officeDocument/2006/relationships/hyperlink" Target="mailto:cvz183@gmail.com" TargetMode="External"/><Relationship Id="rId116" Type="http://schemas.openxmlformats.org/officeDocument/2006/relationships/hyperlink" Target="mailto:aperez@consorciosrt.com" TargetMode="External"/><Relationship Id="rId137" Type="http://schemas.openxmlformats.org/officeDocument/2006/relationships/hyperlink" Target="mailto:jalvarocastro@gmail.com" TargetMode="External"/><Relationship Id="rId158" Type="http://schemas.openxmlformats.org/officeDocument/2006/relationships/hyperlink" Target="mailto:walterquispe.bajun23@gmail.com" TargetMode="External"/><Relationship Id="rId20" Type="http://schemas.openxmlformats.org/officeDocument/2006/relationships/hyperlink" Target="mailto:rreallaime@gmail.com" TargetMode="External"/><Relationship Id="rId41" Type="http://schemas.openxmlformats.org/officeDocument/2006/relationships/hyperlink" Target="mailto:adrianz1217@gmail.com" TargetMode="External"/><Relationship Id="rId62" Type="http://schemas.openxmlformats.org/officeDocument/2006/relationships/hyperlink" Target="mailto:omarsanchezh8@gmail.com" TargetMode="External"/><Relationship Id="rId83" Type="http://schemas.openxmlformats.org/officeDocument/2006/relationships/hyperlink" Target="mailto:leonardo.varmusa@gmail.com" TargetMode="External"/><Relationship Id="rId88" Type="http://schemas.openxmlformats.org/officeDocument/2006/relationships/hyperlink" Target="mailto:rcarlos.calanche.cardenas@gmail.com" TargetMode="External"/><Relationship Id="rId111" Type="http://schemas.openxmlformats.org/officeDocument/2006/relationships/hyperlink" Target="mailto:bermejo.2504@gmail.com" TargetMode="External"/><Relationship Id="rId132" Type="http://schemas.openxmlformats.org/officeDocument/2006/relationships/hyperlink" Target="mailto:soledadchumbez@gmail.com" TargetMode="External"/><Relationship Id="rId153" Type="http://schemas.openxmlformats.org/officeDocument/2006/relationships/hyperlink" Target="mailto:greyca78@gmail.com" TargetMode="External"/><Relationship Id="rId174" Type="http://schemas.openxmlformats.org/officeDocument/2006/relationships/hyperlink" Target="mailto:jhersontintayarg4@gmail.com" TargetMode="External"/><Relationship Id="rId15" Type="http://schemas.openxmlformats.org/officeDocument/2006/relationships/hyperlink" Target="mailto:marba20@gmail.com" TargetMode="External"/><Relationship Id="rId36" Type="http://schemas.openxmlformats.org/officeDocument/2006/relationships/hyperlink" Target="mailto:herbert.cordova@outlook.com" TargetMode="External"/><Relationship Id="rId57" Type="http://schemas.openxmlformats.org/officeDocument/2006/relationships/hyperlink" Target="mailto:tmartinez2106@gmail.com" TargetMode="External"/><Relationship Id="rId106" Type="http://schemas.openxmlformats.org/officeDocument/2006/relationships/hyperlink" Target="mailto:gabriel.yabar08@gmail.com" TargetMode="External"/><Relationship Id="rId127" Type="http://schemas.openxmlformats.org/officeDocument/2006/relationships/hyperlink" Target="mailto:jefrybardales21@gmail.com" TargetMode="External"/><Relationship Id="rId10" Type="http://schemas.openxmlformats.org/officeDocument/2006/relationships/hyperlink" Target="mailto:131054@unsaac.edu.pe" TargetMode="External"/><Relationship Id="rId31" Type="http://schemas.openxmlformats.org/officeDocument/2006/relationships/hyperlink" Target="mailto:melvyn.lc@gmail.com" TargetMode="External"/><Relationship Id="rId52" Type="http://schemas.openxmlformats.org/officeDocument/2006/relationships/hyperlink" Target="mailto:jhoelromero1996@gmail.com" TargetMode="External"/><Relationship Id="rId73" Type="http://schemas.openxmlformats.org/officeDocument/2006/relationships/hyperlink" Target="mailto:amadeo12_24@hotmail.com" TargetMode="External"/><Relationship Id="rId78" Type="http://schemas.openxmlformats.org/officeDocument/2006/relationships/hyperlink" Target="mailto:jessialevaldped19@gmail.com" TargetMode="External"/><Relationship Id="rId94" Type="http://schemas.openxmlformats.org/officeDocument/2006/relationships/hyperlink" Target="mailto:rodolfoflores_1985@hotmail.com" TargetMode="External"/><Relationship Id="rId99" Type="http://schemas.openxmlformats.org/officeDocument/2006/relationships/hyperlink" Target="mailto:jluna4det@gmail.com" TargetMode="External"/><Relationship Id="rId101" Type="http://schemas.openxmlformats.org/officeDocument/2006/relationships/hyperlink" Target="mailto:aymabryaan@gmail.com" TargetMode="External"/><Relationship Id="rId122" Type="http://schemas.openxmlformats.org/officeDocument/2006/relationships/hyperlink" Target="mailto:mislervillabos@gmail.com" TargetMode="External"/><Relationship Id="rId143" Type="http://schemas.openxmlformats.org/officeDocument/2006/relationships/hyperlink" Target="mailto:thomas.zunini.1994@gmail.com" TargetMode="External"/><Relationship Id="rId148" Type="http://schemas.openxmlformats.org/officeDocument/2006/relationships/hyperlink" Target="mailto:aurichkattia@gmail.com" TargetMode="External"/><Relationship Id="rId164" Type="http://schemas.openxmlformats.org/officeDocument/2006/relationships/hyperlink" Target="mailto:dnns_s.a@hotmail.es" TargetMode="External"/><Relationship Id="rId169" Type="http://schemas.openxmlformats.org/officeDocument/2006/relationships/hyperlink" Target="mailto:florestreceluisa@gmail.com" TargetMode="External"/><Relationship Id="rId4" Type="http://schemas.openxmlformats.org/officeDocument/2006/relationships/hyperlink" Target="mailto:samarith29@gmail.com" TargetMode="External"/><Relationship Id="rId9" Type="http://schemas.openxmlformats.org/officeDocument/2006/relationships/hyperlink" Target="mailto:rosse_ch15@hotmail.com" TargetMode="External"/><Relationship Id="rId26" Type="http://schemas.openxmlformats.org/officeDocument/2006/relationships/hyperlink" Target="mailto:henderjosemorveli86@gmail.com" TargetMode="External"/><Relationship Id="rId47" Type="http://schemas.openxmlformats.org/officeDocument/2006/relationships/hyperlink" Target="mailto:javier.nieto1688@gmail.com" TargetMode="External"/><Relationship Id="rId68" Type="http://schemas.openxmlformats.org/officeDocument/2006/relationships/hyperlink" Target="mailto:alfredos7@hotmail.com" TargetMode="External"/><Relationship Id="rId89" Type="http://schemas.openxmlformats.org/officeDocument/2006/relationships/hyperlink" Target="mailto:aldolaurarobles@gmail.com" TargetMode="External"/><Relationship Id="rId112" Type="http://schemas.openxmlformats.org/officeDocument/2006/relationships/hyperlink" Target="mailto:jcaniza@consorciosrt.com" TargetMode="External"/><Relationship Id="rId133" Type="http://schemas.openxmlformats.org/officeDocument/2006/relationships/hyperlink" Target="mailto:humbertodurandlopez@gmail.com" TargetMode="External"/><Relationship Id="rId154" Type="http://schemas.openxmlformats.org/officeDocument/2006/relationships/hyperlink" Target="mailto:kimberlyiie@gmail.com" TargetMode="External"/><Relationship Id="rId175" Type="http://schemas.openxmlformats.org/officeDocument/2006/relationships/printerSettings" Target="../printerSettings/printerSettings2.bin"/><Relationship Id="rId16" Type="http://schemas.openxmlformats.org/officeDocument/2006/relationships/hyperlink" Target="mailto:jcayalae@gmail.com" TargetMode="External"/><Relationship Id="rId37" Type="http://schemas.openxmlformats.org/officeDocument/2006/relationships/hyperlink" Target="mailto:pamela.cuba@outlook.com" TargetMode="External"/><Relationship Id="rId58" Type="http://schemas.openxmlformats.org/officeDocument/2006/relationships/hyperlink" Target="mailto:milkor.muagui@gmail.com" TargetMode="External"/><Relationship Id="rId79" Type="http://schemas.openxmlformats.org/officeDocument/2006/relationships/hyperlink" Target="mailto:yapiastorres@gmail.com" TargetMode="External"/><Relationship Id="rId102" Type="http://schemas.openxmlformats.org/officeDocument/2006/relationships/hyperlink" Target="mailto:yazanslaguna@gmail.com" TargetMode="External"/><Relationship Id="rId123" Type="http://schemas.openxmlformats.org/officeDocument/2006/relationships/hyperlink" Target="mailto:alvharito583@gmail.com" TargetMode="External"/><Relationship Id="rId144" Type="http://schemas.openxmlformats.org/officeDocument/2006/relationships/hyperlink" Target="mailto:cv3030912@gmail.com" TargetMode="External"/><Relationship Id="rId90" Type="http://schemas.openxmlformats.org/officeDocument/2006/relationships/hyperlink" Target="mailto:maribelchurapa@gmial.com" TargetMode="External"/><Relationship Id="rId165" Type="http://schemas.openxmlformats.org/officeDocument/2006/relationships/hyperlink" Target="mailto:likin0319@gmail.com" TargetMode="External"/><Relationship Id="rId27" Type="http://schemas.openxmlformats.org/officeDocument/2006/relationships/hyperlink" Target="mailto:raul_gonzales2007@hotmail.com" TargetMode="External"/><Relationship Id="rId48" Type="http://schemas.openxmlformats.org/officeDocument/2006/relationships/hyperlink" Target="mailto:r_percca_c@hotmail.com" TargetMode="External"/><Relationship Id="rId69" Type="http://schemas.openxmlformats.org/officeDocument/2006/relationships/hyperlink" Target="mailto:jhoel9075@gmail.com" TargetMode="External"/><Relationship Id="rId113" Type="http://schemas.openxmlformats.org/officeDocument/2006/relationships/hyperlink" Target="mailto:acastillo@consorciosrt.com" TargetMode="External"/><Relationship Id="rId134" Type="http://schemas.openxmlformats.org/officeDocument/2006/relationships/hyperlink" Target="mailto:lilianpalaco@gmail.com" TargetMode="External"/><Relationship Id="rId80" Type="http://schemas.openxmlformats.org/officeDocument/2006/relationships/hyperlink" Target="mailto:andrea.canomd@gmail.com" TargetMode="External"/><Relationship Id="rId155" Type="http://schemas.openxmlformats.org/officeDocument/2006/relationships/hyperlink" Target="mailto:cesartintayac@gmail.com" TargetMode="External"/><Relationship Id="rId176" Type="http://schemas.openxmlformats.org/officeDocument/2006/relationships/vmlDrawing" Target="../drawings/vmlDrawing2.vml"/><Relationship Id="rId17" Type="http://schemas.openxmlformats.org/officeDocument/2006/relationships/hyperlink" Target="mailto:gachb3001@gmail.com" TargetMode="External"/><Relationship Id="rId38" Type="http://schemas.openxmlformats.org/officeDocument/2006/relationships/hyperlink" Target="mailto:cescuderod1996@gmail.com" TargetMode="External"/><Relationship Id="rId59" Type="http://schemas.openxmlformats.org/officeDocument/2006/relationships/hyperlink" Target="mailto:wencepm7@hotmail.com" TargetMode="External"/><Relationship Id="rId103" Type="http://schemas.openxmlformats.org/officeDocument/2006/relationships/hyperlink" Target="mailto:facabrera.carlos@gmail.com" TargetMode="External"/><Relationship Id="rId124" Type="http://schemas.openxmlformats.org/officeDocument/2006/relationships/hyperlink" Target="mailto:eidercuanca@gmail.com" TargetMode="External"/><Relationship Id="rId70" Type="http://schemas.openxmlformats.org/officeDocument/2006/relationships/hyperlink" Target="mailto:joelponce93@gmail.com" TargetMode="External"/><Relationship Id="rId91" Type="http://schemas.openxmlformats.org/officeDocument/2006/relationships/hyperlink" Target="mailto:wmarquezhuinocana@gmail.com" TargetMode="External"/><Relationship Id="rId145" Type="http://schemas.openxmlformats.org/officeDocument/2006/relationships/hyperlink" Target="mailto:baldera.velasquez28@gmail.com" TargetMode="External"/><Relationship Id="rId166" Type="http://schemas.openxmlformats.org/officeDocument/2006/relationships/hyperlink" Target="mailto:karenalu20@gmail.com" TargetMode="External"/><Relationship Id="rId1" Type="http://schemas.openxmlformats.org/officeDocument/2006/relationships/hyperlink" Target="mailto:beraunriv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2A9E-94BB-45C1-AC59-DF354E29364D}">
  <dimension ref="A1:AJ370"/>
  <sheetViews>
    <sheetView tabSelected="1" zoomScaleNormal="100" zoomScaleSheetLayoutView="100" workbookViewId="0">
      <pane xSplit="3" ySplit="2" topLeftCell="D142" activePane="bottomRight" state="frozen"/>
      <selection pane="topRight" activeCell="D1" sqref="D1"/>
      <selection pane="bottomLeft" activeCell="A3" sqref="A3"/>
      <selection pane="bottomRight" activeCell="E173" sqref="E173"/>
    </sheetView>
  </sheetViews>
  <sheetFormatPr baseColWidth="10" defaultColWidth="10.88671875" defaultRowHeight="10.199999999999999" outlineLevelCol="1" x14ac:dyDescent="0.2"/>
  <cols>
    <col min="1" max="1" width="7" style="23" bestFit="1" customWidth="1"/>
    <col min="2" max="2" width="7.33203125" style="26" bestFit="1" customWidth="1"/>
    <col min="3" max="3" width="30.6640625" style="26" bestFit="1" customWidth="1"/>
    <col min="4" max="4" width="33.6640625" style="26" customWidth="1"/>
    <col min="5" max="5" width="28.109375" style="26" customWidth="1"/>
    <col min="6" max="6" width="17.44140625" style="26" customWidth="1"/>
    <col min="7" max="7" width="35.88671875" style="27" hidden="1" customWidth="1" outlineLevel="1"/>
    <col min="8" max="8" width="23" style="26" hidden="1" customWidth="1" outlineLevel="1"/>
    <col min="9" max="9" width="15.44140625" style="26" hidden="1" customWidth="1" outlineLevel="1"/>
    <col min="10" max="10" width="17.44140625" style="26" hidden="1" customWidth="1" outlineLevel="1"/>
    <col min="11" max="14" width="10.33203125" style="26" hidden="1" customWidth="1" outlineLevel="1"/>
    <col min="15" max="15" width="13.33203125" style="28" hidden="1" customWidth="1" collapsed="1"/>
    <col min="16" max="16" width="8.44140625" style="29" hidden="1" customWidth="1"/>
    <col min="17" max="17" width="11.88671875" style="26" hidden="1" customWidth="1" outlineLevel="1"/>
    <col min="18" max="18" width="10.44140625" style="26" hidden="1" customWidth="1" outlineLevel="1"/>
    <col min="19" max="19" width="11.5546875" style="26" hidden="1" customWidth="1" outlineLevel="1"/>
    <col min="20" max="20" width="10.44140625" style="26" hidden="1" customWidth="1" outlineLevel="1"/>
    <col min="21" max="21" width="11.44140625" style="26" hidden="1" customWidth="1" outlineLevel="1"/>
    <col min="22" max="24" width="9.33203125" style="26" hidden="1" customWidth="1" outlineLevel="1"/>
    <col min="25" max="25" width="9.6640625" style="26" hidden="1" customWidth="1" outlineLevel="1"/>
    <col min="26" max="26" width="9.33203125" style="26" hidden="1" customWidth="1" outlineLevel="1"/>
    <col min="27" max="27" width="9.88671875" style="26" hidden="1" customWidth="1" outlineLevel="1"/>
    <col min="28" max="34" width="10" style="26" hidden="1" customWidth="1" outlineLevel="1"/>
    <col min="35" max="35" width="10.88671875" style="26" collapsed="1"/>
    <col min="36" max="16384" width="10.88671875" style="26"/>
  </cols>
  <sheetData>
    <row r="1" spans="1:35" s="5" customFormat="1" x14ac:dyDescent="0.3">
      <c r="A1" s="158" t="s">
        <v>0</v>
      </c>
      <c r="B1" s="169" t="s">
        <v>1</v>
      </c>
      <c r="C1" s="168" t="s">
        <v>2</v>
      </c>
      <c r="D1" s="162" t="s">
        <v>3</v>
      </c>
      <c r="E1" s="171" t="s">
        <v>4</v>
      </c>
      <c r="F1" s="168" t="s">
        <v>5</v>
      </c>
      <c r="G1" s="162" t="s">
        <v>6</v>
      </c>
      <c r="H1" s="158" t="s">
        <v>7</v>
      </c>
      <c r="I1" s="158" t="s">
        <v>8</v>
      </c>
      <c r="J1" s="158" t="s">
        <v>9</v>
      </c>
      <c r="K1" s="158" t="s">
        <v>10</v>
      </c>
      <c r="L1" s="165" t="s">
        <v>11</v>
      </c>
      <c r="M1" s="165" t="s">
        <v>12</v>
      </c>
      <c r="N1" s="165" t="s">
        <v>13</v>
      </c>
      <c r="O1" s="160" t="s">
        <v>14</v>
      </c>
      <c r="P1" s="160" t="s">
        <v>15</v>
      </c>
      <c r="Q1" s="162" t="s">
        <v>16</v>
      </c>
      <c r="R1" s="158" t="s">
        <v>17</v>
      </c>
      <c r="S1" s="158" t="s">
        <v>18</v>
      </c>
      <c r="T1" s="158" t="s">
        <v>19</v>
      </c>
      <c r="U1" s="158" t="s">
        <v>20</v>
      </c>
      <c r="V1" s="158" t="s">
        <v>21</v>
      </c>
      <c r="W1" s="158" t="s">
        <v>22</v>
      </c>
      <c r="X1" s="158" t="s">
        <v>23</v>
      </c>
      <c r="Y1" s="158" t="s">
        <v>24</v>
      </c>
      <c r="Z1" s="158" t="s">
        <v>25</v>
      </c>
      <c r="AA1" s="158" t="s">
        <v>26</v>
      </c>
      <c r="AB1" s="158" t="s">
        <v>27</v>
      </c>
      <c r="AC1" s="158" t="s">
        <v>28</v>
      </c>
      <c r="AD1" s="158" t="s">
        <v>29</v>
      </c>
      <c r="AE1" s="158" t="s">
        <v>30</v>
      </c>
      <c r="AF1" s="158" t="s">
        <v>31</v>
      </c>
      <c r="AG1" s="158" t="s">
        <v>32</v>
      </c>
      <c r="AH1" s="158" t="s">
        <v>33</v>
      </c>
      <c r="AI1" s="160" t="s">
        <v>34</v>
      </c>
    </row>
    <row r="2" spans="1:35" s="5" customFormat="1" x14ac:dyDescent="0.3">
      <c r="A2" s="164"/>
      <c r="B2" s="170"/>
      <c r="C2" s="165"/>
      <c r="D2" s="163"/>
      <c r="E2" s="158"/>
      <c r="F2" s="165"/>
      <c r="G2" s="163"/>
      <c r="H2" s="164"/>
      <c r="I2" s="164"/>
      <c r="J2" s="164"/>
      <c r="K2" s="164"/>
      <c r="L2" s="166"/>
      <c r="M2" s="166"/>
      <c r="N2" s="166"/>
      <c r="O2" s="161"/>
      <c r="P2" s="161"/>
      <c r="Q2" s="167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  <c r="AH2" s="159"/>
      <c r="AI2" s="161"/>
    </row>
    <row r="3" spans="1:35" s="16" customFormat="1" ht="16.95" customHeight="1" x14ac:dyDescent="0.3">
      <c r="A3" s="6">
        <f t="shared" ref="A3:A10" si="0">A2+1</f>
        <v>1</v>
      </c>
      <c r="B3" s="7" t="s">
        <v>35</v>
      </c>
      <c r="C3" s="8" t="s">
        <v>36</v>
      </c>
      <c r="D3" s="19" t="s">
        <v>37</v>
      </c>
      <c r="E3" s="8" t="s">
        <v>38</v>
      </c>
      <c r="F3" s="8" t="s">
        <v>39</v>
      </c>
      <c r="G3" s="10" t="s">
        <v>40</v>
      </c>
      <c r="H3" s="11" t="s">
        <v>41</v>
      </c>
      <c r="I3" s="11" t="s">
        <v>42</v>
      </c>
      <c r="J3" s="11" t="s">
        <v>42</v>
      </c>
      <c r="K3" s="11" t="s">
        <v>43</v>
      </c>
      <c r="L3" s="12">
        <v>1970</v>
      </c>
      <c r="M3" s="13">
        <v>0</v>
      </c>
      <c r="N3" s="13">
        <v>0</v>
      </c>
      <c r="O3" s="14">
        <v>46034</v>
      </c>
      <c r="P3" s="11">
        <v>46142</v>
      </c>
      <c r="Q3" s="11"/>
      <c r="R3" s="11"/>
      <c r="S3" s="11"/>
      <c r="T3" s="15"/>
      <c r="U3" s="11"/>
      <c r="V3" s="11"/>
      <c r="W3" s="8"/>
      <c r="X3" s="8"/>
      <c r="Y3" s="8"/>
      <c r="Z3" s="11"/>
      <c r="AA3" s="8"/>
      <c r="AB3" s="8"/>
      <c r="AC3" s="8"/>
      <c r="AD3" s="11"/>
      <c r="AE3" s="11"/>
      <c r="AF3" s="11"/>
      <c r="AG3" s="11"/>
      <c r="AH3" s="11"/>
      <c r="AI3" s="11">
        <f t="shared" ref="AI3:AI34" si="1">+MAX(O3:AH3)</f>
        <v>46142</v>
      </c>
    </row>
    <row r="4" spans="1:35" s="16" customFormat="1" ht="16.95" customHeight="1" x14ac:dyDescent="0.3">
      <c r="A4" s="6">
        <f t="shared" si="0"/>
        <v>2</v>
      </c>
      <c r="B4" s="7" t="s">
        <v>44</v>
      </c>
      <c r="C4" s="8" t="s">
        <v>45</v>
      </c>
      <c r="D4" s="9" t="s">
        <v>46</v>
      </c>
      <c r="E4" s="8" t="s">
        <v>47</v>
      </c>
      <c r="F4" s="8" t="s">
        <v>48</v>
      </c>
      <c r="G4" s="10" t="s">
        <v>49</v>
      </c>
      <c r="H4" s="11" t="s">
        <v>50</v>
      </c>
      <c r="I4" s="11" t="s">
        <v>50</v>
      </c>
      <c r="J4" s="11" t="s">
        <v>50</v>
      </c>
      <c r="K4" s="11" t="s">
        <v>51</v>
      </c>
      <c r="L4" s="12">
        <v>8000</v>
      </c>
      <c r="M4" s="13">
        <v>800</v>
      </c>
      <c r="N4" s="13">
        <v>800</v>
      </c>
      <c r="O4" s="14">
        <v>45386</v>
      </c>
      <c r="P4" s="11">
        <v>45473</v>
      </c>
      <c r="Q4" s="11">
        <v>45565</v>
      </c>
      <c r="R4" s="11">
        <v>45657</v>
      </c>
      <c r="S4" s="11">
        <v>45747</v>
      </c>
      <c r="T4" s="15">
        <v>45838</v>
      </c>
      <c r="U4" s="11">
        <v>45930</v>
      </c>
      <c r="V4" s="11">
        <v>46022</v>
      </c>
      <c r="W4" s="11">
        <v>46081</v>
      </c>
      <c r="X4" s="11">
        <v>46112</v>
      </c>
      <c r="Y4" s="8"/>
      <c r="Z4" s="11"/>
      <c r="AA4" s="8"/>
      <c r="AB4" s="8"/>
      <c r="AC4" s="8"/>
      <c r="AD4" s="11"/>
      <c r="AE4" s="11"/>
      <c r="AF4" s="11"/>
      <c r="AG4" s="11"/>
      <c r="AH4" s="11"/>
      <c r="AI4" s="11">
        <f t="shared" si="1"/>
        <v>46112</v>
      </c>
    </row>
    <row r="5" spans="1:35" s="16" customFormat="1" ht="16.95" customHeight="1" x14ac:dyDescent="0.3">
      <c r="A5" s="6">
        <f t="shared" si="0"/>
        <v>3</v>
      </c>
      <c r="B5" s="7" t="s">
        <v>52</v>
      </c>
      <c r="C5" s="8" t="s">
        <v>53</v>
      </c>
      <c r="D5" s="9" t="s">
        <v>54</v>
      </c>
      <c r="E5" s="8" t="s">
        <v>55</v>
      </c>
      <c r="F5" s="8" t="s">
        <v>56</v>
      </c>
      <c r="G5" s="10" t="s">
        <v>57</v>
      </c>
      <c r="H5" s="11" t="s">
        <v>50</v>
      </c>
      <c r="I5" s="11" t="s">
        <v>50</v>
      </c>
      <c r="J5" s="11" t="s">
        <v>50</v>
      </c>
      <c r="K5" s="11" t="s">
        <v>43</v>
      </c>
      <c r="L5" s="12">
        <v>2700</v>
      </c>
      <c r="M5" s="13">
        <v>0</v>
      </c>
      <c r="N5" s="13">
        <v>0</v>
      </c>
      <c r="O5" s="14">
        <v>45558</v>
      </c>
      <c r="P5" s="11">
        <v>45657</v>
      </c>
      <c r="Q5" s="11">
        <v>45747</v>
      </c>
      <c r="R5" s="11">
        <v>45838</v>
      </c>
      <c r="S5" s="11">
        <v>45930</v>
      </c>
      <c r="T5" s="17">
        <v>46022</v>
      </c>
      <c r="U5" s="11">
        <v>46112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1">
        <f t="shared" si="1"/>
        <v>46112</v>
      </c>
    </row>
    <row r="6" spans="1:35" s="16" customFormat="1" ht="16.95" customHeight="1" x14ac:dyDescent="0.3">
      <c r="A6" s="6">
        <f t="shared" si="0"/>
        <v>4</v>
      </c>
      <c r="B6" s="7" t="s">
        <v>58</v>
      </c>
      <c r="C6" s="8" t="s">
        <v>59</v>
      </c>
      <c r="D6" s="9" t="s">
        <v>60</v>
      </c>
      <c r="E6" s="8" t="s">
        <v>61</v>
      </c>
      <c r="F6" s="8" t="s">
        <v>62</v>
      </c>
      <c r="G6" s="10" t="s">
        <v>63</v>
      </c>
      <c r="H6" s="11" t="s">
        <v>64</v>
      </c>
      <c r="I6" s="11" t="s">
        <v>65</v>
      </c>
      <c r="J6" s="11" t="s">
        <v>65</v>
      </c>
      <c r="K6" s="11" t="s">
        <v>43</v>
      </c>
      <c r="L6" s="12">
        <v>3700</v>
      </c>
      <c r="M6" s="13">
        <v>500</v>
      </c>
      <c r="N6" s="13">
        <v>500</v>
      </c>
      <c r="O6" s="14">
        <v>45909</v>
      </c>
      <c r="P6" s="11">
        <v>45991</v>
      </c>
      <c r="Q6" s="11">
        <v>46053</v>
      </c>
      <c r="R6" s="11">
        <v>46142</v>
      </c>
      <c r="S6" s="11"/>
      <c r="T6" s="15"/>
      <c r="U6" s="11"/>
      <c r="V6" s="11"/>
      <c r="W6" s="8"/>
      <c r="X6" s="8"/>
      <c r="Y6" s="8"/>
      <c r="Z6" s="11"/>
      <c r="AA6" s="8"/>
      <c r="AB6" s="8"/>
      <c r="AC6" s="8"/>
      <c r="AD6" s="11"/>
      <c r="AE6" s="11"/>
      <c r="AF6" s="11"/>
      <c r="AG6" s="11"/>
      <c r="AH6" s="11"/>
      <c r="AI6" s="11">
        <f t="shared" si="1"/>
        <v>46142</v>
      </c>
    </row>
    <row r="7" spans="1:35" s="16" customFormat="1" ht="16.95" customHeight="1" x14ac:dyDescent="0.3">
      <c r="A7" s="6">
        <f t="shared" si="0"/>
        <v>5</v>
      </c>
      <c r="B7" s="7" t="s">
        <v>66</v>
      </c>
      <c r="C7" s="8" t="s">
        <v>67</v>
      </c>
      <c r="D7" s="9" t="s">
        <v>68</v>
      </c>
      <c r="E7" s="8" t="s">
        <v>69</v>
      </c>
      <c r="F7" s="8" t="s">
        <v>70</v>
      </c>
      <c r="G7" s="10" t="s">
        <v>71</v>
      </c>
      <c r="H7" s="11" t="s">
        <v>72</v>
      </c>
      <c r="I7" s="11" t="s">
        <v>73</v>
      </c>
      <c r="J7" s="11" t="s">
        <v>73</v>
      </c>
      <c r="K7" s="11" t="s">
        <v>43</v>
      </c>
      <c r="L7" s="12">
        <v>3800</v>
      </c>
      <c r="M7" s="13">
        <v>800</v>
      </c>
      <c r="N7" s="13">
        <v>800</v>
      </c>
      <c r="O7" s="14">
        <v>45787</v>
      </c>
      <c r="P7" s="11">
        <v>45869</v>
      </c>
      <c r="Q7" s="11">
        <v>45961</v>
      </c>
      <c r="R7" s="11">
        <v>46053</v>
      </c>
      <c r="S7" s="11">
        <v>46112</v>
      </c>
      <c r="T7" s="15"/>
      <c r="U7" s="11"/>
      <c r="V7" s="11"/>
      <c r="W7" s="8"/>
      <c r="X7" s="8"/>
      <c r="Y7" s="8"/>
      <c r="Z7" s="11"/>
      <c r="AA7" s="8"/>
      <c r="AB7" s="8"/>
      <c r="AC7" s="8"/>
      <c r="AD7" s="11"/>
      <c r="AE7" s="11"/>
      <c r="AF7" s="11"/>
      <c r="AG7" s="11"/>
      <c r="AH7" s="11"/>
      <c r="AI7" s="11">
        <f t="shared" si="1"/>
        <v>46112</v>
      </c>
    </row>
    <row r="8" spans="1:35" s="16" customFormat="1" ht="16.95" customHeight="1" x14ac:dyDescent="0.3">
      <c r="A8" s="6">
        <f t="shared" si="0"/>
        <v>6</v>
      </c>
      <c r="B8" s="7" t="s">
        <v>74</v>
      </c>
      <c r="C8" s="8" t="s">
        <v>75</v>
      </c>
      <c r="D8" s="9" t="s">
        <v>76</v>
      </c>
      <c r="E8" s="8" t="s">
        <v>77</v>
      </c>
      <c r="F8" s="8" t="s">
        <v>78</v>
      </c>
      <c r="G8" s="10" t="s">
        <v>79</v>
      </c>
      <c r="H8" s="11" t="s">
        <v>50</v>
      </c>
      <c r="I8" s="11" t="s">
        <v>50</v>
      </c>
      <c r="J8" s="11" t="s">
        <v>50</v>
      </c>
      <c r="K8" s="11" t="s">
        <v>43</v>
      </c>
      <c r="L8" s="12">
        <v>3000</v>
      </c>
      <c r="M8" s="13">
        <v>0</v>
      </c>
      <c r="N8" s="13">
        <v>0</v>
      </c>
      <c r="O8" s="14" t="s">
        <v>80</v>
      </c>
      <c r="P8" s="11">
        <v>46022</v>
      </c>
      <c r="Q8" s="11">
        <v>46053</v>
      </c>
      <c r="R8" s="11">
        <v>46081</v>
      </c>
      <c r="S8" s="11">
        <v>46112</v>
      </c>
      <c r="T8" s="15"/>
      <c r="U8" s="11"/>
      <c r="V8" s="11"/>
      <c r="W8" s="8"/>
      <c r="X8" s="8"/>
      <c r="Y8" s="8"/>
      <c r="Z8" s="11"/>
      <c r="AA8" s="8"/>
      <c r="AB8" s="8"/>
      <c r="AC8" s="8"/>
      <c r="AD8" s="11"/>
      <c r="AE8" s="11"/>
      <c r="AF8" s="11"/>
      <c r="AG8" s="11"/>
      <c r="AH8" s="11"/>
      <c r="AI8" s="11">
        <f t="shared" si="1"/>
        <v>46112</v>
      </c>
    </row>
    <row r="9" spans="1:35" s="16" customFormat="1" ht="16.95" customHeight="1" x14ac:dyDescent="0.3">
      <c r="A9" s="6">
        <f t="shared" si="0"/>
        <v>7</v>
      </c>
      <c r="B9" s="7" t="s">
        <v>81</v>
      </c>
      <c r="C9" s="8" t="s">
        <v>82</v>
      </c>
      <c r="D9" s="9" t="s">
        <v>83</v>
      </c>
      <c r="E9" s="8" t="s">
        <v>84</v>
      </c>
      <c r="F9" s="8" t="s">
        <v>85</v>
      </c>
      <c r="G9" s="10" t="s">
        <v>86</v>
      </c>
      <c r="H9" s="11" t="s">
        <v>87</v>
      </c>
      <c r="I9" s="11" t="s">
        <v>87</v>
      </c>
      <c r="J9" s="11" t="s">
        <v>87</v>
      </c>
      <c r="K9" s="11" t="s">
        <v>43</v>
      </c>
      <c r="L9" s="12">
        <v>5000</v>
      </c>
      <c r="M9" s="13">
        <v>500</v>
      </c>
      <c r="N9" s="13">
        <v>500</v>
      </c>
      <c r="O9" s="14">
        <v>45727</v>
      </c>
      <c r="P9" s="11">
        <v>45808</v>
      </c>
      <c r="Q9" s="11">
        <v>45900</v>
      </c>
      <c r="R9" s="11">
        <v>45991</v>
      </c>
      <c r="S9" s="11">
        <v>46053</v>
      </c>
      <c r="T9" s="15">
        <v>46112</v>
      </c>
      <c r="U9" s="11"/>
      <c r="V9" s="11"/>
      <c r="W9" s="8"/>
      <c r="X9" s="8"/>
      <c r="Y9" s="8"/>
      <c r="Z9" s="11"/>
      <c r="AA9" s="8"/>
      <c r="AB9" s="8"/>
      <c r="AC9" s="8"/>
      <c r="AD9" s="11"/>
      <c r="AE9" s="11"/>
      <c r="AF9" s="11"/>
      <c r="AG9" s="11"/>
      <c r="AH9" s="11"/>
      <c r="AI9" s="11">
        <f t="shared" si="1"/>
        <v>46112</v>
      </c>
    </row>
    <row r="10" spans="1:35" s="16" customFormat="1" ht="16.95" customHeight="1" x14ac:dyDescent="0.3">
      <c r="A10" s="6">
        <f t="shared" si="0"/>
        <v>8</v>
      </c>
      <c r="B10" s="7" t="s">
        <v>88</v>
      </c>
      <c r="C10" s="8" t="s">
        <v>89</v>
      </c>
      <c r="D10" s="9" t="s">
        <v>90</v>
      </c>
      <c r="E10" s="8" t="s">
        <v>38</v>
      </c>
      <c r="F10" s="8" t="s">
        <v>39</v>
      </c>
      <c r="G10" s="10" t="s">
        <v>91</v>
      </c>
      <c r="H10" s="11" t="s">
        <v>92</v>
      </c>
      <c r="I10" s="11" t="s">
        <v>73</v>
      </c>
      <c r="J10" s="11" t="s">
        <v>73</v>
      </c>
      <c r="K10" s="11" t="s">
        <v>43</v>
      </c>
      <c r="L10" s="12">
        <v>1970</v>
      </c>
      <c r="M10" s="13">
        <v>0</v>
      </c>
      <c r="N10" s="13">
        <v>0</v>
      </c>
      <c r="O10" s="14">
        <v>45937</v>
      </c>
      <c r="P10" s="11">
        <v>46022</v>
      </c>
      <c r="Q10" s="11">
        <v>46053</v>
      </c>
      <c r="R10" s="11">
        <v>46081</v>
      </c>
      <c r="S10" s="11">
        <v>46112</v>
      </c>
      <c r="T10" s="15"/>
      <c r="U10" s="11"/>
      <c r="V10" s="11"/>
      <c r="W10" s="8"/>
      <c r="X10" s="8"/>
      <c r="Y10" s="8"/>
      <c r="Z10" s="11"/>
      <c r="AA10" s="8"/>
      <c r="AB10" s="8"/>
      <c r="AC10" s="8"/>
      <c r="AD10" s="11"/>
      <c r="AE10" s="11"/>
      <c r="AF10" s="11"/>
      <c r="AG10" s="11"/>
      <c r="AH10" s="11"/>
      <c r="AI10" s="11">
        <f t="shared" si="1"/>
        <v>46112</v>
      </c>
    </row>
    <row r="11" spans="1:35" s="16" customFormat="1" ht="16.95" customHeight="1" x14ac:dyDescent="0.3">
      <c r="A11" s="6">
        <f>Liquidados!A286+1</f>
        <v>11</v>
      </c>
      <c r="B11" s="7" t="s">
        <v>93</v>
      </c>
      <c r="C11" s="8" t="s">
        <v>94</v>
      </c>
      <c r="D11" s="9" t="s">
        <v>95</v>
      </c>
      <c r="E11" s="8" t="s">
        <v>96</v>
      </c>
      <c r="F11" s="8" t="s">
        <v>56</v>
      </c>
      <c r="G11" s="10" t="s">
        <v>97</v>
      </c>
      <c r="H11" s="11" t="s">
        <v>98</v>
      </c>
      <c r="I11" s="11" t="s">
        <v>99</v>
      </c>
      <c r="J11" s="11" t="s">
        <v>50</v>
      </c>
      <c r="K11" s="11" t="s">
        <v>43</v>
      </c>
      <c r="L11" s="12">
        <v>2000</v>
      </c>
      <c r="M11" s="13">
        <v>375</v>
      </c>
      <c r="N11" s="13">
        <v>0</v>
      </c>
      <c r="O11" s="14">
        <v>44932</v>
      </c>
      <c r="P11" s="11">
        <v>45107</v>
      </c>
      <c r="Q11" s="11">
        <v>45199</v>
      </c>
      <c r="R11" s="11">
        <v>45291</v>
      </c>
      <c r="S11" s="11">
        <v>45473</v>
      </c>
      <c r="T11" s="15">
        <v>45382</v>
      </c>
      <c r="U11" s="11">
        <v>45565</v>
      </c>
      <c r="V11" s="11">
        <v>45657</v>
      </c>
      <c r="W11" s="11">
        <v>45688</v>
      </c>
      <c r="X11" s="11">
        <v>45716</v>
      </c>
      <c r="Y11" s="11">
        <v>45808</v>
      </c>
      <c r="Z11" s="11">
        <v>45900</v>
      </c>
      <c r="AA11" s="11">
        <v>45991</v>
      </c>
      <c r="AB11" s="11">
        <v>46053</v>
      </c>
      <c r="AC11" s="11">
        <v>46142</v>
      </c>
      <c r="AD11" s="11"/>
      <c r="AE11" s="11"/>
      <c r="AF11" s="11"/>
      <c r="AG11" s="11"/>
      <c r="AH11" s="11"/>
      <c r="AI11" s="11">
        <f t="shared" si="1"/>
        <v>46142</v>
      </c>
    </row>
    <row r="12" spans="1:35" s="16" customFormat="1" ht="16.95" customHeight="1" x14ac:dyDescent="0.3">
      <c r="A12" s="6">
        <f t="shared" ref="A12:A30" si="2">A11+1</f>
        <v>12</v>
      </c>
      <c r="B12" s="7" t="s">
        <v>100</v>
      </c>
      <c r="C12" s="8" t="s">
        <v>101</v>
      </c>
      <c r="D12" s="9" t="s">
        <v>102</v>
      </c>
      <c r="E12" s="8" t="s">
        <v>103</v>
      </c>
      <c r="F12" s="8" t="s">
        <v>48</v>
      </c>
      <c r="G12" s="10" t="s">
        <v>104</v>
      </c>
      <c r="H12" s="11" t="s">
        <v>87</v>
      </c>
      <c r="I12" s="11" t="s">
        <v>87</v>
      </c>
      <c r="J12" s="11" t="s">
        <v>87</v>
      </c>
      <c r="K12" s="11" t="s">
        <v>51</v>
      </c>
      <c r="L12" s="12">
        <v>9200</v>
      </c>
      <c r="M12" s="13">
        <v>800</v>
      </c>
      <c r="N12" s="13">
        <v>800</v>
      </c>
      <c r="O12" s="14">
        <v>45279</v>
      </c>
      <c r="P12" s="11">
        <v>45382</v>
      </c>
      <c r="Q12" s="11">
        <v>45473</v>
      </c>
      <c r="R12" s="11">
        <v>45565</v>
      </c>
      <c r="S12" s="11">
        <v>45657</v>
      </c>
      <c r="T12" s="15">
        <v>45747</v>
      </c>
      <c r="U12" s="11">
        <v>45838</v>
      </c>
      <c r="V12" s="11">
        <v>45930</v>
      </c>
      <c r="W12" s="11">
        <v>46022</v>
      </c>
      <c r="X12" s="11">
        <v>46081</v>
      </c>
      <c r="Y12" s="11">
        <v>46112</v>
      </c>
      <c r="Z12" s="11"/>
      <c r="AA12" s="8"/>
      <c r="AB12" s="8"/>
      <c r="AC12" s="8"/>
      <c r="AD12" s="11"/>
      <c r="AE12" s="11"/>
      <c r="AF12" s="11"/>
      <c r="AG12" s="11"/>
      <c r="AH12" s="11"/>
      <c r="AI12" s="11">
        <f t="shared" si="1"/>
        <v>46112</v>
      </c>
    </row>
    <row r="13" spans="1:35" s="16" customFormat="1" ht="16.95" customHeight="1" x14ac:dyDescent="0.3">
      <c r="A13" s="6">
        <f t="shared" si="2"/>
        <v>13</v>
      </c>
      <c r="B13" s="7" t="s">
        <v>105</v>
      </c>
      <c r="C13" s="8" t="s">
        <v>106</v>
      </c>
      <c r="D13" s="9" t="s">
        <v>107</v>
      </c>
      <c r="E13" s="8" t="s">
        <v>108</v>
      </c>
      <c r="F13" s="8" t="s">
        <v>56</v>
      </c>
      <c r="G13" s="10" t="s">
        <v>109</v>
      </c>
      <c r="H13" s="11" t="s">
        <v>110</v>
      </c>
      <c r="I13" s="11" t="s">
        <v>110</v>
      </c>
      <c r="J13" s="11" t="s">
        <v>65</v>
      </c>
      <c r="K13" s="11" t="s">
        <v>43</v>
      </c>
      <c r="L13" s="12">
        <v>1800</v>
      </c>
      <c r="M13" s="13">
        <v>375</v>
      </c>
      <c r="N13" s="13">
        <v>0</v>
      </c>
      <c r="O13" s="14">
        <v>45688</v>
      </c>
      <c r="P13" s="11">
        <v>45777</v>
      </c>
      <c r="Q13" s="11">
        <v>45869</v>
      </c>
      <c r="R13" s="11">
        <v>45961</v>
      </c>
      <c r="S13" s="11">
        <v>46053</v>
      </c>
      <c r="T13" s="15">
        <v>46142</v>
      </c>
      <c r="U13" s="11"/>
      <c r="V13" s="11"/>
      <c r="W13" s="8"/>
      <c r="X13" s="8"/>
      <c r="Y13" s="8"/>
      <c r="Z13" s="11"/>
      <c r="AA13" s="8"/>
      <c r="AB13" s="8"/>
      <c r="AC13" s="8"/>
      <c r="AD13" s="11"/>
      <c r="AE13" s="11"/>
      <c r="AF13" s="11"/>
      <c r="AG13" s="11"/>
      <c r="AH13" s="11"/>
      <c r="AI13" s="11">
        <f t="shared" si="1"/>
        <v>46142</v>
      </c>
    </row>
    <row r="14" spans="1:35" s="16" customFormat="1" ht="16.95" customHeight="1" x14ac:dyDescent="0.3">
      <c r="A14" s="6">
        <f t="shared" si="2"/>
        <v>14</v>
      </c>
      <c r="B14" s="7" t="s">
        <v>111</v>
      </c>
      <c r="C14" s="8" t="s">
        <v>112</v>
      </c>
      <c r="D14" s="9" t="s">
        <v>113</v>
      </c>
      <c r="E14" s="8" t="s">
        <v>114</v>
      </c>
      <c r="F14" s="8" t="s">
        <v>115</v>
      </c>
      <c r="G14" s="10" t="s">
        <v>116</v>
      </c>
      <c r="H14" s="11" t="s">
        <v>117</v>
      </c>
      <c r="I14" s="11" t="s">
        <v>73</v>
      </c>
      <c r="J14" s="11" t="s">
        <v>73</v>
      </c>
      <c r="K14" s="11" t="s">
        <v>51</v>
      </c>
      <c r="L14" s="12">
        <v>11000</v>
      </c>
      <c r="M14" s="13">
        <v>800</v>
      </c>
      <c r="N14" s="13">
        <v>800</v>
      </c>
      <c r="O14" s="14">
        <v>45545</v>
      </c>
      <c r="P14" s="11">
        <v>45626</v>
      </c>
      <c r="Q14" s="11">
        <v>45716</v>
      </c>
      <c r="R14" s="11">
        <v>45808</v>
      </c>
      <c r="S14" s="11">
        <v>45900</v>
      </c>
      <c r="T14" s="15">
        <v>45991</v>
      </c>
      <c r="U14" s="11">
        <v>46081</v>
      </c>
      <c r="V14" s="11">
        <v>46112</v>
      </c>
      <c r="W14" s="8"/>
      <c r="X14" s="8"/>
      <c r="Y14" s="8"/>
      <c r="Z14" s="11"/>
      <c r="AA14" s="8"/>
      <c r="AB14" s="8"/>
      <c r="AC14" s="8"/>
      <c r="AD14" s="11"/>
      <c r="AE14" s="11"/>
      <c r="AF14" s="11"/>
      <c r="AG14" s="11"/>
      <c r="AH14" s="11"/>
      <c r="AI14" s="11">
        <f t="shared" si="1"/>
        <v>46112</v>
      </c>
    </row>
    <row r="15" spans="1:35" s="16" customFormat="1" ht="16.95" customHeight="1" x14ac:dyDescent="0.3">
      <c r="A15" s="6">
        <f t="shared" si="2"/>
        <v>15</v>
      </c>
      <c r="B15" s="7" t="s">
        <v>118</v>
      </c>
      <c r="C15" s="8" t="s">
        <v>119</v>
      </c>
      <c r="D15" s="9" t="s">
        <v>120</v>
      </c>
      <c r="E15" s="8" t="s">
        <v>121</v>
      </c>
      <c r="F15" s="8" t="s">
        <v>122</v>
      </c>
      <c r="G15" s="10" t="s">
        <v>123</v>
      </c>
      <c r="H15" s="11" t="s">
        <v>124</v>
      </c>
      <c r="I15" s="11" t="s">
        <v>125</v>
      </c>
      <c r="J15" s="11" t="s">
        <v>126</v>
      </c>
      <c r="K15" s="11" t="s">
        <v>43</v>
      </c>
      <c r="L15" s="12">
        <v>5000</v>
      </c>
      <c r="M15" s="13">
        <v>500</v>
      </c>
      <c r="N15" s="13">
        <v>500</v>
      </c>
      <c r="O15" s="14">
        <v>45931</v>
      </c>
      <c r="P15" s="11">
        <v>46022</v>
      </c>
      <c r="Q15" s="11">
        <v>46053</v>
      </c>
      <c r="R15" s="11">
        <v>46112</v>
      </c>
      <c r="S15" s="11"/>
      <c r="T15" s="15"/>
      <c r="U15" s="11"/>
      <c r="V15" s="11"/>
      <c r="W15" s="8"/>
      <c r="X15" s="8"/>
      <c r="Y15" s="8"/>
      <c r="Z15" s="11"/>
      <c r="AA15" s="8"/>
      <c r="AB15" s="8"/>
      <c r="AC15" s="8"/>
      <c r="AD15" s="11"/>
      <c r="AE15" s="11"/>
      <c r="AF15" s="11"/>
      <c r="AG15" s="11"/>
      <c r="AH15" s="11"/>
      <c r="AI15" s="11">
        <f t="shared" si="1"/>
        <v>46112</v>
      </c>
    </row>
    <row r="16" spans="1:35" s="16" customFormat="1" ht="16.95" customHeight="1" x14ac:dyDescent="0.3">
      <c r="A16" s="6">
        <f t="shared" si="2"/>
        <v>16</v>
      </c>
      <c r="B16" s="7" t="s">
        <v>127</v>
      </c>
      <c r="C16" s="8" t="s">
        <v>128</v>
      </c>
      <c r="D16" s="9" t="s">
        <v>129</v>
      </c>
      <c r="E16" s="8" t="s">
        <v>130</v>
      </c>
      <c r="F16" s="8" t="s">
        <v>131</v>
      </c>
      <c r="G16" s="10" t="s">
        <v>132</v>
      </c>
      <c r="H16" s="11" t="s">
        <v>133</v>
      </c>
      <c r="I16" s="11" t="s">
        <v>134</v>
      </c>
      <c r="J16" s="11" t="s">
        <v>50</v>
      </c>
      <c r="K16" s="11" t="s">
        <v>43</v>
      </c>
      <c r="L16" s="12">
        <v>1130</v>
      </c>
      <c r="M16" s="13">
        <v>0</v>
      </c>
      <c r="N16" s="13">
        <v>0</v>
      </c>
      <c r="O16" s="14">
        <v>45894</v>
      </c>
      <c r="P16" s="11">
        <v>45991</v>
      </c>
      <c r="Q16" s="11">
        <v>46022</v>
      </c>
      <c r="R16" s="11">
        <v>46053</v>
      </c>
      <c r="S16" s="11">
        <v>46081</v>
      </c>
      <c r="T16" s="15">
        <v>46112</v>
      </c>
      <c r="U16" s="11"/>
      <c r="V16" s="11"/>
      <c r="W16" s="8"/>
      <c r="X16" s="8"/>
      <c r="Y16" s="8"/>
      <c r="Z16" s="11"/>
      <c r="AA16" s="8"/>
      <c r="AB16" s="8"/>
      <c r="AC16" s="8"/>
      <c r="AD16" s="11"/>
      <c r="AE16" s="11"/>
      <c r="AF16" s="11"/>
      <c r="AG16" s="11"/>
      <c r="AH16" s="11"/>
      <c r="AI16" s="11">
        <f t="shared" si="1"/>
        <v>46112</v>
      </c>
    </row>
    <row r="17" spans="1:35" s="16" customFormat="1" ht="16.95" customHeight="1" x14ac:dyDescent="0.3">
      <c r="A17" s="6">
        <f t="shared" si="2"/>
        <v>17</v>
      </c>
      <c r="B17" s="7" t="s">
        <v>135</v>
      </c>
      <c r="C17" s="8" t="s">
        <v>136</v>
      </c>
      <c r="D17" s="9" t="s">
        <v>137</v>
      </c>
      <c r="E17" s="8" t="s">
        <v>138</v>
      </c>
      <c r="F17" s="8" t="s">
        <v>139</v>
      </c>
      <c r="G17" s="10" t="s">
        <v>140</v>
      </c>
      <c r="H17" s="11" t="s">
        <v>141</v>
      </c>
      <c r="I17" s="11" t="s">
        <v>73</v>
      </c>
      <c r="J17" s="11" t="s">
        <v>73</v>
      </c>
      <c r="K17" s="11" t="s">
        <v>51</v>
      </c>
      <c r="L17" s="12">
        <v>14000</v>
      </c>
      <c r="M17" s="13">
        <v>1000</v>
      </c>
      <c r="N17" s="13">
        <v>1200</v>
      </c>
      <c r="O17" s="14">
        <v>44866</v>
      </c>
      <c r="P17" s="11">
        <v>45230</v>
      </c>
      <c r="Q17" s="11">
        <v>45322</v>
      </c>
      <c r="R17" s="11">
        <v>45504</v>
      </c>
      <c r="S17" s="11">
        <v>45596</v>
      </c>
      <c r="T17" s="15">
        <v>45777</v>
      </c>
      <c r="U17" s="11">
        <v>45961</v>
      </c>
      <c r="V17" s="11">
        <v>46053</v>
      </c>
      <c r="W17" s="11">
        <v>46142</v>
      </c>
      <c r="X17" s="8"/>
      <c r="Y17" s="8"/>
      <c r="Z17" s="11"/>
      <c r="AA17" s="8"/>
      <c r="AB17" s="8"/>
      <c r="AC17" s="8"/>
      <c r="AD17" s="11"/>
      <c r="AE17" s="11"/>
      <c r="AF17" s="11"/>
      <c r="AG17" s="11"/>
      <c r="AH17" s="11"/>
      <c r="AI17" s="11">
        <f t="shared" si="1"/>
        <v>46142</v>
      </c>
    </row>
    <row r="18" spans="1:35" s="16" customFormat="1" ht="16.95" customHeight="1" x14ac:dyDescent="0.3">
      <c r="A18" s="6">
        <f t="shared" si="2"/>
        <v>18</v>
      </c>
      <c r="B18" s="7" t="s">
        <v>142</v>
      </c>
      <c r="C18" s="8" t="s">
        <v>143</v>
      </c>
      <c r="D18" s="19" t="s">
        <v>144</v>
      </c>
      <c r="E18" s="8" t="s">
        <v>145</v>
      </c>
      <c r="F18" s="8" t="s">
        <v>131</v>
      </c>
      <c r="G18" s="10" t="s">
        <v>146</v>
      </c>
      <c r="H18" s="11" t="s">
        <v>50</v>
      </c>
      <c r="I18" s="11" t="s">
        <v>50</v>
      </c>
      <c r="J18" s="11" t="s">
        <v>50</v>
      </c>
      <c r="K18" s="11" t="s">
        <v>147</v>
      </c>
      <c r="L18" s="12">
        <v>4000</v>
      </c>
      <c r="M18" s="13">
        <v>375</v>
      </c>
      <c r="N18" s="13"/>
      <c r="O18" s="14">
        <v>46028</v>
      </c>
      <c r="P18" s="11">
        <v>46112</v>
      </c>
      <c r="Q18" s="11"/>
      <c r="R18" s="11"/>
      <c r="S18" s="11"/>
      <c r="T18" s="15"/>
      <c r="U18" s="11"/>
      <c r="V18" s="11"/>
      <c r="W18" s="8"/>
      <c r="X18" s="8"/>
      <c r="Y18" s="8"/>
      <c r="Z18" s="11"/>
      <c r="AA18" s="8"/>
      <c r="AB18" s="8"/>
      <c r="AC18" s="8"/>
      <c r="AD18" s="11"/>
      <c r="AE18" s="11"/>
      <c r="AF18" s="11"/>
      <c r="AG18" s="11"/>
      <c r="AH18" s="11"/>
      <c r="AI18" s="11">
        <f t="shared" si="1"/>
        <v>46112</v>
      </c>
    </row>
    <row r="19" spans="1:35" s="16" customFormat="1" ht="16.95" customHeight="1" x14ac:dyDescent="0.3">
      <c r="A19" s="6">
        <f t="shared" si="2"/>
        <v>19</v>
      </c>
      <c r="B19" s="7" t="s">
        <v>148</v>
      </c>
      <c r="C19" s="8" t="s">
        <v>149</v>
      </c>
      <c r="D19" s="9" t="s">
        <v>150</v>
      </c>
      <c r="E19" s="8" t="s">
        <v>61</v>
      </c>
      <c r="F19" s="8" t="s">
        <v>151</v>
      </c>
      <c r="G19" s="10" t="s">
        <v>152</v>
      </c>
      <c r="H19" s="11" t="s">
        <v>125</v>
      </c>
      <c r="I19" s="11" t="s">
        <v>125</v>
      </c>
      <c r="J19" s="11" t="s">
        <v>126</v>
      </c>
      <c r="K19" s="11" t="s">
        <v>43</v>
      </c>
      <c r="L19" s="12">
        <v>3500</v>
      </c>
      <c r="M19" s="13">
        <v>500</v>
      </c>
      <c r="N19" s="13">
        <v>500</v>
      </c>
      <c r="O19" s="14">
        <v>45947</v>
      </c>
      <c r="P19" s="11">
        <v>46022</v>
      </c>
      <c r="Q19" s="11">
        <v>46081</v>
      </c>
      <c r="R19" s="11">
        <v>46112</v>
      </c>
      <c r="S19" s="11"/>
      <c r="T19" s="15"/>
      <c r="U19" s="11"/>
      <c r="V19" s="11"/>
      <c r="W19" s="8"/>
      <c r="X19" s="8"/>
      <c r="Y19" s="8"/>
      <c r="Z19" s="11"/>
      <c r="AA19" s="8"/>
      <c r="AB19" s="8"/>
      <c r="AC19" s="8"/>
      <c r="AD19" s="11"/>
      <c r="AE19" s="11"/>
      <c r="AF19" s="11"/>
      <c r="AG19" s="11"/>
      <c r="AH19" s="11"/>
      <c r="AI19" s="11">
        <f t="shared" si="1"/>
        <v>46112</v>
      </c>
    </row>
    <row r="20" spans="1:35" s="16" customFormat="1" ht="16.95" customHeight="1" x14ac:dyDescent="0.3">
      <c r="A20" s="6">
        <f t="shared" si="2"/>
        <v>20</v>
      </c>
      <c r="B20" s="7" t="s">
        <v>153</v>
      </c>
      <c r="C20" s="8" t="s">
        <v>154</v>
      </c>
      <c r="D20" s="9" t="s">
        <v>155</v>
      </c>
      <c r="E20" s="8" t="s">
        <v>156</v>
      </c>
      <c r="F20" s="8" t="s">
        <v>48</v>
      </c>
      <c r="G20" s="10" t="s">
        <v>157</v>
      </c>
      <c r="H20" s="11" t="s">
        <v>158</v>
      </c>
      <c r="I20" s="11" t="s">
        <v>158</v>
      </c>
      <c r="J20" s="11" t="s">
        <v>159</v>
      </c>
      <c r="K20" s="11" t="s">
        <v>43</v>
      </c>
      <c r="L20" s="12">
        <v>4000</v>
      </c>
      <c r="M20" s="13">
        <v>800</v>
      </c>
      <c r="N20" s="13">
        <v>800</v>
      </c>
      <c r="O20" s="14">
        <v>45386</v>
      </c>
      <c r="P20" s="11">
        <v>45473</v>
      </c>
      <c r="Q20" s="11">
        <v>45535</v>
      </c>
      <c r="R20" s="11">
        <v>45596</v>
      </c>
      <c r="S20" s="11">
        <v>45688</v>
      </c>
      <c r="T20" s="15">
        <v>45777</v>
      </c>
      <c r="U20" s="11">
        <v>45869</v>
      </c>
      <c r="V20" s="11">
        <v>45961</v>
      </c>
      <c r="W20" s="11">
        <v>46053</v>
      </c>
      <c r="X20" s="11">
        <v>46142</v>
      </c>
      <c r="Y20" s="8"/>
      <c r="Z20" s="11"/>
      <c r="AA20" s="8"/>
      <c r="AB20" s="8"/>
      <c r="AC20" s="8"/>
      <c r="AD20" s="11"/>
      <c r="AE20" s="11"/>
      <c r="AF20" s="11"/>
      <c r="AG20" s="11"/>
      <c r="AH20" s="11"/>
      <c r="AI20" s="11">
        <f t="shared" si="1"/>
        <v>46142</v>
      </c>
    </row>
    <row r="21" spans="1:35" s="16" customFormat="1" ht="16.95" customHeight="1" x14ac:dyDescent="0.3">
      <c r="A21" s="6">
        <f t="shared" si="2"/>
        <v>21</v>
      </c>
      <c r="B21" s="7" t="s">
        <v>160</v>
      </c>
      <c r="C21" s="8" t="s">
        <v>161</v>
      </c>
      <c r="D21" s="9" t="s">
        <v>162</v>
      </c>
      <c r="E21" s="20" t="s">
        <v>163</v>
      </c>
      <c r="F21" s="8" t="s">
        <v>164</v>
      </c>
      <c r="G21" s="10" t="s">
        <v>165</v>
      </c>
      <c r="H21" s="11" t="s">
        <v>166</v>
      </c>
      <c r="I21" s="11" t="s">
        <v>167</v>
      </c>
      <c r="J21" s="11" t="s">
        <v>65</v>
      </c>
      <c r="K21" s="11" t="s">
        <v>43</v>
      </c>
      <c r="L21" s="12">
        <v>4000</v>
      </c>
      <c r="M21" s="13">
        <v>500</v>
      </c>
      <c r="N21" s="13">
        <v>500</v>
      </c>
      <c r="O21" s="14">
        <v>45909</v>
      </c>
      <c r="P21" s="11">
        <v>45991</v>
      </c>
      <c r="Q21" s="11">
        <v>46053</v>
      </c>
      <c r="R21" s="11">
        <v>46142</v>
      </c>
      <c r="S21" s="11"/>
      <c r="T21" s="15"/>
      <c r="U21" s="11"/>
      <c r="V21" s="11"/>
      <c r="W21" s="8"/>
      <c r="X21" s="8"/>
      <c r="Y21" s="8"/>
      <c r="Z21" s="11"/>
      <c r="AA21" s="8"/>
      <c r="AB21" s="8"/>
      <c r="AC21" s="8"/>
      <c r="AD21" s="11"/>
      <c r="AE21" s="11"/>
      <c r="AF21" s="11"/>
      <c r="AG21" s="11"/>
      <c r="AH21" s="11"/>
      <c r="AI21" s="11">
        <f t="shared" si="1"/>
        <v>46142</v>
      </c>
    </row>
    <row r="22" spans="1:35" s="16" customFormat="1" ht="16.95" customHeight="1" x14ac:dyDescent="0.3">
      <c r="A22" s="6">
        <f t="shared" si="2"/>
        <v>22</v>
      </c>
      <c r="B22" s="7" t="s">
        <v>168</v>
      </c>
      <c r="C22" s="8" t="s">
        <v>169</v>
      </c>
      <c r="D22" s="9" t="s">
        <v>170</v>
      </c>
      <c r="E22" s="8" t="s">
        <v>171</v>
      </c>
      <c r="F22" s="8" t="s">
        <v>131</v>
      </c>
      <c r="G22" s="10" t="s">
        <v>172</v>
      </c>
      <c r="H22" s="11" t="s">
        <v>173</v>
      </c>
      <c r="I22" s="11" t="s">
        <v>73</v>
      </c>
      <c r="J22" s="11" t="s">
        <v>73</v>
      </c>
      <c r="K22" s="11" t="s">
        <v>147</v>
      </c>
      <c r="L22" s="12">
        <v>38370</v>
      </c>
      <c r="M22" s="13">
        <v>0</v>
      </c>
      <c r="N22" s="13">
        <v>0</v>
      </c>
      <c r="O22" s="14" t="s">
        <v>174</v>
      </c>
      <c r="P22" s="11">
        <v>46203</v>
      </c>
      <c r="Q22" s="11"/>
      <c r="R22" s="11"/>
      <c r="S22" s="11"/>
      <c r="T22" s="15"/>
      <c r="U22" s="11"/>
      <c r="V22" s="11"/>
      <c r="W22" s="8"/>
      <c r="X22" s="8"/>
      <c r="Y22" s="8"/>
      <c r="Z22" s="11"/>
      <c r="AA22" s="8"/>
      <c r="AB22" s="8"/>
      <c r="AC22" s="8"/>
      <c r="AD22" s="11"/>
      <c r="AE22" s="11"/>
      <c r="AF22" s="11"/>
      <c r="AG22" s="11"/>
      <c r="AH22" s="11"/>
      <c r="AI22" s="11">
        <f t="shared" si="1"/>
        <v>46203</v>
      </c>
    </row>
    <row r="23" spans="1:35" s="16" customFormat="1" ht="16.95" customHeight="1" x14ac:dyDescent="0.3">
      <c r="A23" s="6">
        <f t="shared" si="2"/>
        <v>23</v>
      </c>
      <c r="B23" s="7" t="s">
        <v>175</v>
      </c>
      <c r="C23" s="8" t="s">
        <v>176</v>
      </c>
      <c r="D23" s="9" t="s">
        <v>177</v>
      </c>
      <c r="E23" s="8" t="s">
        <v>178</v>
      </c>
      <c r="F23" s="8" t="s">
        <v>179</v>
      </c>
      <c r="G23" s="10" t="s">
        <v>180</v>
      </c>
      <c r="H23" s="11" t="s">
        <v>41</v>
      </c>
      <c r="I23" s="11" t="s">
        <v>50</v>
      </c>
      <c r="J23" s="11" t="s">
        <v>50</v>
      </c>
      <c r="K23" s="11" t="s">
        <v>43</v>
      </c>
      <c r="L23" s="12">
        <v>2500</v>
      </c>
      <c r="M23" s="13">
        <v>300</v>
      </c>
      <c r="N23" s="13">
        <v>0</v>
      </c>
      <c r="O23" s="14">
        <v>45798</v>
      </c>
      <c r="P23" s="11">
        <v>45900</v>
      </c>
      <c r="Q23" s="11">
        <v>45991</v>
      </c>
      <c r="R23" s="11">
        <v>46053</v>
      </c>
      <c r="S23" s="11">
        <v>46112</v>
      </c>
      <c r="T23" s="15"/>
      <c r="U23" s="11"/>
      <c r="V23" s="11"/>
      <c r="W23" s="8"/>
      <c r="X23" s="8"/>
      <c r="Y23" s="8"/>
      <c r="Z23" s="11"/>
      <c r="AA23" s="8"/>
      <c r="AB23" s="8"/>
      <c r="AC23" s="8"/>
      <c r="AD23" s="11"/>
      <c r="AE23" s="11"/>
      <c r="AF23" s="11"/>
      <c r="AG23" s="11"/>
      <c r="AH23" s="11"/>
      <c r="AI23" s="11">
        <f t="shared" si="1"/>
        <v>46112</v>
      </c>
    </row>
    <row r="24" spans="1:35" s="16" customFormat="1" ht="16.95" customHeight="1" x14ac:dyDescent="0.3">
      <c r="A24" s="6">
        <f t="shared" si="2"/>
        <v>24</v>
      </c>
      <c r="B24" s="7" t="s">
        <v>181</v>
      </c>
      <c r="C24" s="8" t="s">
        <v>182</v>
      </c>
      <c r="D24" s="9" t="s">
        <v>183</v>
      </c>
      <c r="E24" s="8" t="s">
        <v>184</v>
      </c>
      <c r="F24" s="8" t="s">
        <v>115</v>
      </c>
      <c r="G24" s="10" t="s">
        <v>185</v>
      </c>
      <c r="H24" s="11" t="s">
        <v>186</v>
      </c>
      <c r="I24" s="11" t="s">
        <v>50</v>
      </c>
      <c r="J24" s="11" t="s">
        <v>50</v>
      </c>
      <c r="K24" s="11" t="s">
        <v>43</v>
      </c>
      <c r="L24" s="12">
        <v>4500</v>
      </c>
      <c r="M24" s="13">
        <v>0</v>
      </c>
      <c r="N24" s="13">
        <v>0</v>
      </c>
      <c r="O24" s="14">
        <v>45792</v>
      </c>
      <c r="P24" s="11">
        <v>45869</v>
      </c>
      <c r="Q24" s="11">
        <v>45961</v>
      </c>
      <c r="R24" s="11">
        <v>46053</v>
      </c>
      <c r="S24" s="11">
        <v>46142</v>
      </c>
      <c r="T24" s="15"/>
      <c r="U24" s="11"/>
      <c r="V24" s="11"/>
      <c r="W24" s="8"/>
      <c r="X24" s="8"/>
      <c r="Y24" s="8"/>
      <c r="Z24" s="11"/>
      <c r="AA24" s="8"/>
      <c r="AB24" s="8"/>
      <c r="AC24" s="8"/>
      <c r="AD24" s="11"/>
      <c r="AE24" s="11"/>
      <c r="AF24" s="11"/>
      <c r="AG24" s="11"/>
      <c r="AH24" s="11"/>
      <c r="AI24" s="11">
        <f t="shared" si="1"/>
        <v>46142</v>
      </c>
    </row>
    <row r="25" spans="1:35" s="16" customFormat="1" ht="16.95" customHeight="1" x14ac:dyDescent="0.3">
      <c r="A25" s="6">
        <f t="shared" si="2"/>
        <v>25</v>
      </c>
      <c r="B25" s="7" t="s">
        <v>187</v>
      </c>
      <c r="C25" s="8" t="s">
        <v>188</v>
      </c>
      <c r="D25" s="9" t="s">
        <v>189</v>
      </c>
      <c r="E25" s="8" t="s">
        <v>190</v>
      </c>
      <c r="F25" s="8" t="s">
        <v>70</v>
      </c>
      <c r="G25" s="10" t="s">
        <v>191</v>
      </c>
      <c r="H25" s="11" t="s">
        <v>192</v>
      </c>
      <c r="I25" s="11" t="s">
        <v>73</v>
      </c>
      <c r="J25" s="11" t="s">
        <v>73</v>
      </c>
      <c r="K25" s="11" t="s">
        <v>51</v>
      </c>
      <c r="L25" s="12">
        <v>10500</v>
      </c>
      <c r="M25" s="13">
        <v>1000</v>
      </c>
      <c r="N25" s="13">
        <v>900</v>
      </c>
      <c r="O25" s="14">
        <v>45201</v>
      </c>
      <c r="P25" s="11">
        <v>45291</v>
      </c>
      <c r="Q25" s="11">
        <v>45473</v>
      </c>
      <c r="R25" s="11">
        <v>45565</v>
      </c>
      <c r="S25" s="11">
        <v>45657</v>
      </c>
      <c r="T25" s="17">
        <v>45382</v>
      </c>
      <c r="U25" s="18">
        <v>45747</v>
      </c>
      <c r="V25" s="18">
        <v>45838</v>
      </c>
      <c r="W25" s="18">
        <v>45930</v>
      </c>
      <c r="X25" s="18">
        <v>46022</v>
      </c>
      <c r="Y25" s="11">
        <v>46112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1">
        <f t="shared" si="1"/>
        <v>46112</v>
      </c>
    </row>
    <row r="26" spans="1:35" s="16" customFormat="1" ht="16.95" customHeight="1" x14ac:dyDescent="0.3">
      <c r="A26" s="6">
        <f t="shared" si="2"/>
        <v>26</v>
      </c>
      <c r="B26" s="7" t="s">
        <v>193</v>
      </c>
      <c r="C26" s="8" t="s">
        <v>194</v>
      </c>
      <c r="D26" s="19" t="s">
        <v>195</v>
      </c>
      <c r="E26" s="8" t="s">
        <v>196</v>
      </c>
      <c r="F26" s="8" t="s">
        <v>197</v>
      </c>
      <c r="G26" s="10" t="s">
        <v>198</v>
      </c>
      <c r="H26" s="11" t="s">
        <v>199</v>
      </c>
      <c r="I26" s="11" t="s">
        <v>125</v>
      </c>
      <c r="J26" s="11" t="s">
        <v>126</v>
      </c>
      <c r="K26" s="11" t="s">
        <v>147</v>
      </c>
      <c r="L26" s="12">
        <v>5000</v>
      </c>
      <c r="M26" s="13">
        <v>800</v>
      </c>
      <c r="N26" s="13">
        <v>800</v>
      </c>
      <c r="O26" s="14">
        <v>45996</v>
      </c>
      <c r="P26" s="11">
        <v>46081</v>
      </c>
      <c r="Q26" s="11">
        <v>46112</v>
      </c>
      <c r="R26" s="11"/>
      <c r="S26" s="11"/>
      <c r="T26" s="15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>
        <f t="shared" si="1"/>
        <v>46112</v>
      </c>
    </row>
    <row r="27" spans="1:35" s="16" customFormat="1" ht="16.95" customHeight="1" x14ac:dyDescent="0.3">
      <c r="A27" s="6">
        <f t="shared" si="2"/>
        <v>27</v>
      </c>
      <c r="B27" s="7" t="s">
        <v>200</v>
      </c>
      <c r="C27" s="8" t="s">
        <v>201</v>
      </c>
      <c r="D27" s="9" t="s">
        <v>202</v>
      </c>
      <c r="E27" s="8" t="s">
        <v>203</v>
      </c>
      <c r="F27" s="8" t="s">
        <v>204</v>
      </c>
      <c r="G27" s="10" t="s">
        <v>205</v>
      </c>
      <c r="H27" s="11" t="s">
        <v>173</v>
      </c>
      <c r="I27" s="11" t="s">
        <v>73</v>
      </c>
      <c r="J27" s="11" t="s">
        <v>73</v>
      </c>
      <c r="K27" s="11" t="s">
        <v>147</v>
      </c>
      <c r="L27" s="12">
        <v>16690</v>
      </c>
      <c r="M27" s="13">
        <v>0</v>
      </c>
      <c r="N27" s="13">
        <v>0</v>
      </c>
      <c r="O27" s="14" t="s">
        <v>206</v>
      </c>
      <c r="P27" s="11">
        <v>45991</v>
      </c>
      <c r="Q27" s="11">
        <v>46173</v>
      </c>
      <c r="R27" s="11"/>
      <c r="S27" s="11"/>
      <c r="T27" s="15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>
        <f t="shared" si="1"/>
        <v>46173</v>
      </c>
    </row>
    <row r="28" spans="1:35" s="16" customFormat="1" ht="16.95" customHeight="1" x14ac:dyDescent="0.3">
      <c r="A28" s="6">
        <f t="shared" si="2"/>
        <v>28</v>
      </c>
      <c r="B28" s="7" t="s">
        <v>207</v>
      </c>
      <c r="C28" s="8" t="s">
        <v>208</v>
      </c>
      <c r="D28" s="9" t="s">
        <v>209</v>
      </c>
      <c r="E28" s="8" t="s">
        <v>210</v>
      </c>
      <c r="F28" s="8" t="s">
        <v>211</v>
      </c>
      <c r="G28" s="10" t="s">
        <v>212</v>
      </c>
      <c r="H28" s="11" t="s">
        <v>213</v>
      </c>
      <c r="I28" s="11" t="s">
        <v>214</v>
      </c>
      <c r="J28" s="11" t="s">
        <v>65</v>
      </c>
      <c r="K28" s="11" t="s">
        <v>43</v>
      </c>
      <c r="L28" s="12">
        <v>2100</v>
      </c>
      <c r="M28" s="13">
        <v>400</v>
      </c>
      <c r="N28" s="13">
        <v>400</v>
      </c>
      <c r="O28" s="14">
        <v>45870</v>
      </c>
      <c r="P28" s="11">
        <v>45961</v>
      </c>
      <c r="Q28" s="11">
        <v>46022</v>
      </c>
      <c r="R28" s="11">
        <v>46112</v>
      </c>
      <c r="S28" s="11"/>
      <c r="T28" s="17"/>
      <c r="U28" s="18"/>
      <c r="V28" s="18"/>
      <c r="W28" s="11"/>
      <c r="X28" s="11"/>
      <c r="Y28" s="11"/>
      <c r="Z28" s="11"/>
      <c r="AA28" s="11"/>
      <c r="AB28" s="11"/>
      <c r="AC28" s="11"/>
      <c r="AD28" s="18"/>
      <c r="AE28" s="18"/>
      <c r="AF28" s="18"/>
      <c r="AG28" s="18"/>
      <c r="AH28" s="18"/>
      <c r="AI28" s="11">
        <f t="shared" si="1"/>
        <v>46112</v>
      </c>
    </row>
    <row r="29" spans="1:35" s="16" customFormat="1" ht="16.95" customHeight="1" x14ac:dyDescent="0.3">
      <c r="A29" s="6">
        <f t="shared" si="2"/>
        <v>29</v>
      </c>
      <c r="B29" s="7" t="s">
        <v>215</v>
      </c>
      <c r="C29" s="8" t="s">
        <v>216</v>
      </c>
      <c r="D29" s="9" t="s">
        <v>217</v>
      </c>
      <c r="E29" s="8" t="s">
        <v>218</v>
      </c>
      <c r="F29" s="8" t="s">
        <v>70</v>
      </c>
      <c r="G29" s="10" t="s">
        <v>219</v>
      </c>
      <c r="H29" s="11" t="s">
        <v>125</v>
      </c>
      <c r="I29" s="11" t="s">
        <v>125</v>
      </c>
      <c r="J29" s="11" t="s">
        <v>126</v>
      </c>
      <c r="K29" s="11" t="s">
        <v>51</v>
      </c>
      <c r="L29" s="12">
        <v>6500</v>
      </c>
      <c r="M29" s="13">
        <v>800</v>
      </c>
      <c r="N29" s="13">
        <v>800</v>
      </c>
      <c r="O29" s="14">
        <v>45856</v>
      </c>
      <c r="P29" s="11">
        <v>45961</v>
      </c>
      <c r="Q29" s="11">
        <v>46053</v>
      </c>
      <c r="R29" s="11">
        <v>46112</v>
      </c>
      <c r="S29" s="11"/>
      <c r="T29" s="15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>
        <f t="shared" si="1"/>
        <v>46112</v>
      </c>
    </row>
    <row r="30" spans="1:35" s="16" customFormat="1" ht="16.95" customHeight="1" x14ac:dyDescent="0.3">
      <c r="A30" s="6">
        <f t="shared" si="2"/>
        <v>30</v>
      </c>
      <c r="B30" s="7" t="s">
        <v>220</v>
      </c>
      <c r="C30" s="8" t="s">
        <v>221</v>
      </c>
      <c r="D30" s="9" t="s">
        <v>222</v>
      </c>
      <c r="E30" s="8" t="s">
        <v>223</v>
      </c>
      <c r="F30" s="8" t="s">
        <v>131</v>
      </c>
      <c r="G30" s="10" t="s">
        <v>224</v>
      </c>
      <c r="H30" s="11" t="s">
        <v>225</v>
      </c>
      <c r="I30" s="11" t="s">
        <v>73</v>
      </c>
      <c r="J30" s="11" t="s">
        <v>73</v>
      </c>
      <c r="K30" s="11" t="s">
        <v>6</v>
      </c>
      <c r="L30" s="12">
        <v>27000</v>
      </c>
      <c r="M30" s="13">
        <v>1500</v>
      </c>
      <c r="N30" s="13">
        <v>1500</v>
      </c>
      <c r="O30" s="14">
        <v>45597</v>
      </c>
      <c r="P30" s="11">
        <v>45777</v>
      </c>
      <c r="Q30" s="11">
        <v>45961</v>
      </c>
      <c r="R30" s="11">
        <v>46142</v>
      </c>
      <c r="S30" s="11"/>
      <c r="T30" s="15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>
        <f t="shared" si="1"/>
        <v>46142</v>
      </c>
    </row>
    <row r="31" spans="1:35" s="16" customFormat="1" ht="16.95" customHeight="1" x14ac:dyDescent="0.3">
      <c r="A31" s="6">
        <f>Liquidados!A287+1</f>
        <v>32</v>
      </c>
      <c r="B31" s="7" t="s">
        <v>226</v>
      </c>
      <c r="C31" s="8" t="s">
        <v>227</v>
      </c>
      <c r="D31" s="9" t="s">
        <v>228</v>
      </c>
      <c r="E31" s="8" t="s">
        <v>61</v>
      </c>
      <c r="F31" s="8" t="s">
        <v>62</v>
      </c>
      <c r="G31" s="10" t="s">
        <v>229</v>
      </c>
      <c r="H31" s="11" t="s">
        <v>230</v>
      </c>
      <c r="I31" s="11" t="s">
        <v>231</v>
      </c>
      <c r="J31" s="11" t="s">
        <v>73</v>
      </c>
      <c r="K31" s="11" t="s">
        <v>43</v>
      </c>
      <c r="L31" s="12">
        <v>4000</v>
      </c>
      <c r="M31" s="13">
        <v>500</v>
      </c>
      <c r="N31" s="13">
        <v>500</v>
      </c>
      <c r="O31" s="14">
        <v>45691</v>
      </c>
      <c r="P31" s="11">
        <v>45777</v>
      </c>
      <c r="Q31" s="11">
        <v>45869</v>
      </c>
      <c r="R31" s="11">
        <v>45961</v>
      </c>
      <c r="S31" s="11">
        <v>46053</v>
      </c>
      <c r="T31" s="15">
        <v>46142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>
        <f t="shared" si="1"/>
        <v>46142</v>
      </c>
    </row>
    <row r="32" spans="1:35" s="16" customFormat="1" ht="16.95" customHeight="1" x14ac:dyDescent="0.3">
      <c r="A32" s="6">
        <f t="shared" ref="A32:A37" si="3">A31+1</f>
        <v>33</v>
      </c>
      <c r="B32" s="7" t="s">
        <v>232</v>
      </c>
      <c r="C32" s="8" t="s">
        <v>233</v>
      </c>
      <c r="D32" s="9" t="s">
        <v>234</v>
      </c>
      <c r="E32" s="8" t="s">
        <v>235</v>
      </c>
      <c r="F32" s="8" t="s">
        <v>236</v>
      </c>
      <c r="G32" s="10" t="s">
        <v>237</v>
      </c>
      <c r="H32" s="11" t="s">
        <v>50</v>
      </c>
      <c r="I32" s="11" t="s">
        <v>50</v>
      </c>
      <c r="J32" s="11" t="s">
        <v>50</v>
      </c>
      <c r="K32" s="11" t="s">
        <v>43</v>
      </c>
      <c r="L32" s="12">
        <v>2400</v>
      </c>
      <c r="M32" s="13">
        <v>0</v>
      </c>
      <c r="N32" s="13">
        <v>0</v>
      </c>
      <c r="O32" s="14">
        <v>45782</v>
      </c>
      <c r="P32" s="11">
        <v>45869</v>
      </c>
      <c r="Q32" s="11">
        <v>45961</v>
      </c>
      <c r="R32" s="11">
        <v>46053</v>
      </c>
      <c r="S32" s="11">
        <v>46142</v>
      </c>
      <c r="T32" s="15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>
        <f t="shared" si="1"/>
        <v>46142</v>
      </c>
    </row>
    <row r="33" spans="1:35" s="16" customFormat="1" ht="16.95" customHeight="1" x14ac:dyDescent="0.3">
      <c r="A33" s="6">
        <f t="shared" si="3"/>
        <v>34</v>
      </c>
      <c r="B33" s="7" t="s">
        <v>238</v>
      </c>
      <c r="C33" s="8" t="s">
        <v>239</v>
      </c>
      <c r="D33" s="9" t="s">
        <v>240</v>
      </c>
      <c r="E33" s="8" t="s">
        <v>241</v>
      </c>
      <c r="F33" s="8" t="s">
        <v>70</v>
      </c>
      <c r="G33" s="10" t="s">
        <v>242</v>
      </c>
      <c r="H33" s="11" t="s">
        <v>243</v>
      </c>
      <c r="I33" s="11" t="s">
        <v>244</v>
      </c>
      <c r="J33" s="11" t="s">
        <v>245</v>
      </c>
      <c r="K33" s="11" t="s">
        <v>51</v>
      </c>
      <c r="L33" s="12">
        <v>6000</v>
      </c>
      <c r="M33" s="13">
        <v>800</v>
      </c>
      <c r="N33" s="13">
        <v>800</v>
      </c>
      <c r="O33" s="14">
        <v>45923</v>
      </c>
      <c r="P33" s="11">
        <v>46022</v>
      </c>
      <c r="Q33" s="11">
        <v>46112</v>
      </c>
      <c r="R33" s="11"/>
      <c r="S33" s="11"/>
      <c r="T33" s="17"/>
      <c r="U33" s="18"/>
      <c r="V33" s="18"/>
      <c r="W33" s="11"/>
      <c r="X33" s="11"/>
      <c r="Y33" s="11"/>
      <c r="Z33" s="11"/>
      <c r="AA33" s="11"/>
      <c r="AB33" s="11"/>
      <c r="AC33" s="11"/>
      <c r="AD33" s="18"/>
      <c r="AE33" s="18"/>
      <c r="AF33" s="18"/>
      <c r="AG33" s="18"/>
      <c r="AH33" s="18"/>
      <c r="AI33" s="11">
        <f t="shared" si="1"/>
        <v>46112</v>
      </c>
    </row>
    <row r="34" spans="1:35" s="16" customFormat="1" ht="16.95" customHeight="1" x14ac:dyDescent="0.3">
      <c r="A34" s="6">
        <f t="shared" si="3"/>
        <v>35</v>
      </c>
      <c r="B34" s="7" t="s">
        <v>246</v>
      </c>
      <c r="C34" s="8" t="s">
        <v>247</v>
      </c>
      <c r="D34" s="9" t="s">
        <v>248</v>
      </c>
      <c r="E34" s="8" t="s">
        <v>210</v>
      </c>
      <c r="F34" s="8" t="s">
        <v>211</v>
      </c>
      <c r="G34" s="10" t="s">
        <v>249</v>
      </c>
      <c r="H34" s="11" t="s">
        <v>186</v>
      </c>
      <c r="I34" s="11" t="s">
        <v>50</v>
      </c>
      <c r="J34" s="11" t="s">
        <v>50</v>
      </c>
      <c r="K34" s="11" t="s">
        <v>51</v>
      </c>
      <c r="L34" s="12">
        <v>3000</v>
      </c>
      <c r="M34" s="13">
        <v>375</v>
      </c>
      <c r="N34" s="13">
        <v>0</v>
      </c>
      <c r="O34" s="14">
        <v>45251</v>
      </c>
      <c r="P34" s="11">
        <v>45351</v>
      </c>
      <c r="Q34" s="11">
        <v>45443</v>
      </c>
      <c r="R34" s="11">
        <v>45535</v>
      </c>
      <c r="S34" s="11">
        <v>45626</v>
      </c>
      <c r="T34" s="15">
        <v>45716</v>
      </c>
      <c r="U34" s="11">
        <v>45808</v>
      </c>
      <c r="V34" s="11">
        <v>45900</v>
      </c>
      <c r="W34" s="11">
        <v>45991</v>
      </c>
      <c r="X34" s="11">
        <v>46053</v>
      </c>
      <c r="Y34" s="11">
        <v>46142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>
        <f t="shared" si="1"/>
        <v>46142</v>
      </c>
    </row>
    <row r="35" spans="1:35" s="16" customFormat="1" ht="16.95" customHeight="1" x14ac:dyDescent="0.3">
      <c r="A35" s="6">
        <f t="shared" si="3"/>
        <v>36</v>
      </c>
      <c r="B35" s="7" t="s">
        <v>250</v>
      </c>
      <c r="C35" s="8" t="s">
        <v>251</v>
      </c>
      <c r="D35" s="9" t="s">
        <v>252</v>
      </c>
      <c r="E35" s="8" t="s">
        <v>61</v>
      </c>
      <c r="F35" s="8" t="s">
        <v>62</v>
      </c>
      <c r="G35" s="10" t="s">
        <v>253</v>
      </c>
      <c r="H35" s="11" t="s">
        <v>254</v>
      </c>
      <c r="I35" s="11" t="s">
        <v>254</v>
      </c>
      <c r="J35" s="11" t="s">
        <v>255</v>
      </c>
      <c r="K35" s="11" t="s">
        <v>43</v>
      </c>
      <c r="L35" s="12">
        <v>3500</v>
      </c>
      <c r="M35" s="13">
        <v>500</v>
      </c>
      <c r="N35" s="13">
        <v>500</v>
      </c>
      <c r="O35" s="14">
        <v>45901</v>
      </c>
      <c r="P35" s="11">
        <v>45991</v>
      </c>
      <c r="Q35" s="11">
        <v>46053</v>
      </c>
      <c r="R35" s="11">
        <v>46142</v>
      </c>
      <c r="S35" s="11"/>
      <c r="T35" s="15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>
        <f t="shared" ref="AI35:AI66" si="4">+MAX(O35:AH35)</f>
        <v>46142</v>
      </c>
    </row>
    <row r="36" spans="1:35" s="16" customFormat="1" ht="16.95" customHeight="1" x14ac:dyDescent="0.3">
      <c r="A36" s="6">
        <f t="shared" si="3"/>
        <v>37</v>
      </c>
      <c r="B36" s="7" t="s">
        <v>256</v>
      </c>
      <c r="C36" s="8" t="s">
        <v>257</v>
      </c>
      <c r="D36" s="9" t="s">
        <v>258</v>
      </c>
      <c r="E36" s="8" t="s">
        <v>108</v>
      </c>
      <c r="F36" s="8" t="s">
        <v>56</v>
      </c>
      <c r="G36" s="10" t="s">
        <v>259</v>
      </c>
      <c r="H36" s="11" t="s">
        <v>50</v>
      </c>
      <c r="I36" s="11" t="s">
        <v>50</v>
      </c>
      <c r="J36" s="11" t="s">
        <v>50</v>
      </c>
      <c r="K36" s="11" t="s">
        <v>43</v>
      </c>
      <c r="L36" s="12">
        <v>1800</v>
      </c>
      <c r="M36" s="13">
        <v>375</v>
      </c>
      <c r="N36" s="13">
        <v>0</v>
      </c>
      <c r="O36" s="14">
        <v>44575</v>
      </c>
      <c r="P36" s="11">
        <v>44666</v>
      </c>
      <c r="Q36" s="11">
        <v>44681</v>
      </c>
      <c r="R36" s="11">
        <v>44696</v>
      </c>
      <c r="S36" s="11">
        <v>44834</v>
      </c>
      <c r="T36" s="17">
        <v>45351</v>
      </c>
      <c r="U36" s="18">
        <v>44865</v>
      </c>
      <c r="V36" s="18">
        <v>45322</v>
      </c>
      <c r="W36" s="11">
        <v>45138</v>
      </c>
      <c r="X36" s="11">
        <v>45230</v>
      </c>
      <c r="Y36" s="11">
        <v>45260</v>
      </c>
      <c r="Z36" s="11">
        <v>45443</v>
      </c>
      <c r="AA36" s="11">
        <v>45535</v>
      </c>
      <c r="AB36" s="11">
        <v>45626</v>
      </c>
      <c r="AC36" s="11">
        <v>45716</v>
      </c>
      <c r="AD36" s="18">
        <v>45808</v>
      </c>
      <c r="AE36" s="18">
        <v>45991</v>
      </c>
      <c r="AF36" s="18">
        <v>46022</v>
      </c>
      <c r="AG36" s="11">
        <v>46112</v>
      </c>
      <c r="AH36" s="18"/>
      <c r="AI36" s="11">
        <f t="shared" si="4"/>
        <v>46112</v>
      </c>
    </row>
    <row r="37" spans="1:35" s="16" customFormat="1" ht="16.95" customHeight="1" x14ac:dyDescent="0.3">
      <c r="A37" s="6">
        <f t="shared" si="3"/>
        <v>38</v>
      </c>
      <c r="B37" s="7" t="s">
        <v>260</v>
      </c>
      <c r="C37" s="8" t="s">
        <v>261</v>
      </c>
      <c r="D37" s="9" t="s">
        <v>262</v>
      </c>
      <c r="E37" s="8" t="s">
        <v>263</v>
      </c>
      <c r="F37" s="8" t="s">
        <v>264</v>
      </c>
      <c r="G37" s="10" t="s">
        <v>265</v>
      </c>
      <c r="H37" s="11" t="s">
        <v>50</v>
      </c>
      <c r="I37" s="11" t="s">
        <v>50</v>
      </c>
      <c r="J37" s="11" t="s">
        <v>50</v>
      </c>
      <c r="K37" s="11" t="s">
        <v>43</v>
      </c>
      <c r="L37" s="12">
        <v>4000</v>
      </c>
      <c r="M37" s="13">
        <v>375</v>
      </c>
      <c r="N37" s="13">
        <v>0</v>
      </c>
      <c r="O37" s="14">
        <v>44962</v>
      </c>
      <c r="P37" s="11">
        <v>45138</v>
      </c>
      <c r="Q37" s="11">
        <v>45230</v>
      </c>
      <c r="R37" s="11">
        <v>45260</v>
      </c>
      <c r="S37" s="11">
        <v>45443</v>
      </c>
      <c r="T37" s="15">
        <v>45351</v>
      </c>
      <c r="U37" s="11">
        <v>45535</v>
      </c>
      <c r="V37" s="11">
        <v>45626</v>
      </c>
      <c r="W37" s="11">
        <v>45716</v>
      </c>
      <c r="X37" s="11">
        <v>45808</v>
      </c>
      <c r="Y37" s="11">
        <v>45900</v>
      </c>
      <c r="Z37" s="11">
        <v>45991</v>
      </c>
      <c r="AA37" s="11">
        <v>46081</v>
      </c>
      <c r="AB37" s="11">
        <v>46112</v>
      </c>
      <c r="AC37" s="11"/>
      <c r="AD37" s="11"/>
      <c r="AE37" s="11"/>
      <c r="AF37" s="11"/>
      <c r="AG37" s="11"/>
      <c r="AH37" s="11"/>
      <c r="AI37" s="11">
        <f t="shared" si="4"/>
        <v>46112</v>
      </c>
    </row>
    <row r="38" spans="1:35" s="16" customFormat="1" ht="16.95" customHeight="1" x14ac:dyDescent="0.3">
      <c r="A38" s="6">
        <f>Liquidados!A288+1</f>
        <v>40</v>
      </c>
      <c r="B38" s="7" t="s">
        <v>266</v>
      </c>
      <c r="C38" s="8" t="s">
        <v>267</v>
      </c>
      <c r="D38" s="9" t="s">
        <v>268</v>
      </c>
      <c r="E38" s="8" t="s">
        <v>269</v>
      </c>
      <c r="F38" s="8" t="s">
        <v>131</v>
      </c>
      <c r="G38" s="10" t="s">
        <v>270</v>
      </c>
      <c r="H38" s="11" t="s">
        <v>271</v>
      </c>
      <c r="I38" s="11" t="s">
        <v>125</v>
      </c>
      <c r="J38" s="11" t="s">
        <v>126</v>
      </c>
      <c r="K38" s="11" t="s">
        <v>43</v>
      </c>
      <c r="L38" s="12">
        <v>5000</v>
      </c>
      <c r="M38" s="13">
        <v>500</v>
      </c>
      <c r="N38" s="13">
        <v>500</v>
      </c>
      <c r="O38" s="14">
        <v>45616</v>
      </c>
      <c r="P38" s="11">
        <v>45716</v>
      </c>
      <c r="Q38" s="11">
        <v>45808</v>
      </c>
      <c r="R38" s="11">
        <v>45900</v>
      </c>
      <c r="S38" s="11">
        <v>45961</v>
      </c>
      <c r="T38" s="17">
        <v>46022</v>
      </c>
      <c r="U38" s="11">
        <v>46112</v>
      </c>
      <c r="V38" s="18"/>
      <c r="W38" s="11"/>
      <c r="X38" s="11"/>
      <c r="Y38" s="11"/>
      <c r="Z38" s="11"/>
      <c r="AA38" s="11"/>
      <c r="AB38" s="11"/>
      <c r="AC38" s="11"/>
      <c r="AD38" s="18"/>
      <c r="AE38" s="18"/>
      <c r="AF38" s="18"/>
      <c r="AG38" s="18"/>
      <c r="AH38" s="18"/>
      <c r="AI38" s="11">
        <f t="shared" si="4"/>
        <v>46112</v>
      </c>
    </row>
    <row r="39" spans="1:35" s="16" customFormat="1" ht="16.95" customHeight="1" x14ac:dyDescent="0.3">
      <c r="A39" s="6">
        <f>A38+1</f>
        <v>41</v>
      </c>
      <c r="B39" s="7" t="s">
        <v>272</v>
      </c>
      <c r="C39" s="8" t="s">
        <v>273</v>
      </c>
      <c r="D39" s="9" t="s">
        <v>274</v>
      </c>
      <c r="E39" s="8" t="s">
        <v>269</v>
      </c>
      <c r="F39" s="8" t="s">
        <v>131</v>
      </c>
      <c r="G39" s="10" t="s">
        <v>275</v>
      </c>
      <c r="H39" s="11" t="s">
        <v>276</v>
      </c>
      <c r="I39" s="11" t="s">
        <v>73</v>
      </c>
      <c r="J39" s="11" t="s">
        <v>73</v>
      </c>
      <c r="K39" s="11" t="s">
        <v>43</v>
      </c>
      <c r="L39" s="12">
        <v>5000</v>
      </c>
      <c r="M39" s="13">
        <v>500</v>
      </c>
      <c r="N39" s="13">
        <v>500</v>
      </c>
      <c r="O39" s="14">
        <v>45610</v>
      </c>
      <c r="P39" s="11">
        <v>45688</v>
      </c>
      <c r="Q39" s="11">
        <v>45777</v>
      </c>
      <c r="R39" s="11">
        <v>45869</v>
      </c>
      <c r="S39" s="11">
        <v>45961</v>
      </c>
      <c r="T39" s="15">
        <v>46053</v>
      </c>
      <c r="U39" s="11">
        <v>46112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>
        <f t="shared" si="4"/>
        <v>46112</v>
      </c>
    </row>
    <row r="40" spans="1:35" s="16" customFormat="1" ht="16.95" customHeight="1" x14ac:dyDescent="0.3">
      <c r="A40" s="6">
        <f>A39+1</f>
        <v>42</v>
      </c>
      <c r="B40" s="7" t="s">
        <v>277</v>
      </c>
      <c r="C40" s="8" t="s">
        <v>278</v>
      </c>
      <c r="D40" s="9" t="s">
        <v>279</v>
      </c>
      <c r="E40" s="8" t="s">
        <v>145</v>
      </c>
      <c r="F40" s="8" t="s">
        <v>131</v>
      </c>
      <c r="G40" s="10" t="s">
        <v>280</v>
      </c>
      <c r="H40" s="11" t="s">
        <v>41</v>
      </c>
      <c r="I40" s="11" t="s">
        <v>50</v>
      </c>
      <c r="J40" s="11" t="s">
        <v>50</v>
      </c>
      <c r="K40" s="11" t="s">
        <v>43</v>
      </c>
      <c r="L40" s="12">
        <v>4000</v>
      </c>
      <c r="M40" s="13">
        <v>0</v>
      </c>
      <c r="N40" s="13">
        <v>0</v>
      </c>
      <c r="O40" s="14">
        <v>45627</v>
      </c>
      <c r="P40" s="11">
        <v>45716</v>
      </c>
      <c r="Q40" s="11">
        <v>45808</v>
      </c>
      <c r="R40" s="11">
        <v>45900</v>
      </c>
      <c r="S40" s="11">
        <v>45961</v>
      </c>
      <c r="T40" s="17">
        <v>46022</v>
      </c>
      <c r="U40" s="11">
        <v>46112</v>
      </c>
      <c r="V40" s="18"/>
      <c r="W40" s="11"/>
      <c r="X40" s="11"/>
      <c r="Y40" s="11"/>
      <c r="Z40" s="11"/>
      <c r="AA40" s="11"/>
      <c r="AB40" s="11"/>
      <c r="AC40" s="11"/>
      <c r="AD40" s="18"/>
      <c r="AE40" s="18"/>
      <c r="AF40" s="18"/>
      <c r="AG40" s="18"/>
      <c r="AH40" s="18"/>
      <c r="AI40" s="11">
        <f t="shared" si="4"/>
        <v>46112</v>
      </c>
    </row>
    <row r="41" spans="1:35" s="16" customFormat="1" ht="16.95" customHeight="1" x14ac:dyDescent="0.3">
      <c r="A41" s="6">
        <f>A40+1</f>
        <v>43</v>
      </c>
      <c r="B41" s="7" t="s">
        <v>281</v>
      </c>
      <c r="C41" s="8" t="s">
        <v>282</v>
      </c>
      <c r="D41" s="9" t="s">
        <v>283</v>
      </c>
      <c r="E41" s="8" t="s">
        <v>284</v>
      </c>
      <c r="F41" s="8" t="s">
        <v>131</v>
      </c>
      <c r="G41" s="10" t="s">
        <v>285</v>
      </c>
      <c r="H41" s="11" t="s">
        <v>173</v>
      </c>
      <c r="I41" s="11" t="s">
        <v>73</v>
      </c>
      <c r="J41" s="11" t="s">
        <v>73</v>
      </c>
      <c r="K41" s="11" t="s">
        <v>147</v>
      </c>
      <c r="L41" s="12">
        <v>21870.9</v>
      </c>
      <c r="M41" s="13">
        <v>0</v>
      </c>
      <c r="N41" s="13">
        <v>0</v>
      </c>
      <c r="O41" s="14" t="s">
        <v>206</v>
      </c>
      <c r="P41" s="11">
        <v>45991</v>
      </c>
      <c r="Q41" s="11">
        <v>46081</v>
      </c>
      <c r="R41" s="11"/>
      <c r="S41" s="11"/>
      <c r="T41" s="15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>
        <f t="shared" si="4"/>
        <v>46081</v>
      </c>
    </row>
    <row r="42" spans="1:35" s="16" customFormat="1" ht="16.95" customHeight="1" x14ac:dyDescent="0.3">
      <c r="A42" s="6">
        <f>A41+1</f>
        <v>44</v>
      </c>
      <c r="B42" s="7" t="s">
        <v>286</v>
      </c>
      <c r="C42" s="8" t="s">
        <v>287</v>
      </c>
      <c r="D42" s="9" t="s">
        <v>288</v>
      </c>
      <c r="E42" s="8" t="s">
        <v>289</v>
      </c>
      <c r="F42" s="8" t="s">
        <v>290</v>
      </c>
      <c r="G42" s="10" t="s">
        <v>291</v>
      </c>
      <c r="H42" s="11" t="s">
        <v>292</v>
      </c>
      <c r="I42" s="11" t="s">
        <v>73</v>
      </c>
      <c r="J42" s="11" t="s">
        <v>73</v>
      </c>
      <c r="K42" s="11" t="s">
        <v>51</v>
      </c>
      <c r="L42" s="12">
        <v>6000</v>
      </c>
      <c r="M42" s="13">
        <v>1000</v>
      </c>
      <c r="N42" s="13">
        <v>900</v>
      </c>
      <c r="O42" s="14">
        <v>44966</v>
      </c>
      <c r="P42" s="11">
        <v>45138</v>
      </c>
      <c r="Q42" s="11">
        <v>45322</v>
      </c>
      <c r="R42" s="11">
        <v>45473</v>
      </c>
      <c r="S42" s="11">
        <v>45565</v>
      </c>
      <c r="T42" s="17">
        <v>45382</v>
      </c>
      <c r="U42" s="18">
        <v>45657</v>
      </c>
      <c r="V42" s="18">
        <v>45747</v>
      </c>
      <c r="W42" s="18">
        <v>45838</v>
      </c>
      <c r="X42" s="18">
        <v>45930</v>
      </c>
      <c r="Y42" s="18">
        <v>46022</v>
      </c>
      <c r="Z42" s="11">
        <v>46112</v>
      </c>
      <c r="AA42" s="18"/>
      <c r="AB42" s="18"/>
      <c r="AC42" s="18"/>
      <c r="AD42" s="18"/>
      <c r="AE42" s="18"/>
      <c r="AF42" s="18"/>
      <c r="AG42" s="18"/>
      <c r="AH42" s="18"/>
      <c r="AI42" s="11">
        <f t="shared" si="4"/>
        <v>46112</v>
      </c>
    </row>
    <row r="43" spans="1:35" s="16" customFormat="1" ht="16.95" customHeight="1" x14ac:dyDescent="0.3">
      <c r="A43" s="6">
        <f>A42+1</f>
        <v>45</v>
      </c>
      <c r="B43" s="7" t="s">
        <v>293</v>
      </c>
      <c r="C43" s="8" t="s">
        <v>294</v>
      </c>
      <c r="D43" s="9" t="s">
        <v>295</v>
      </c>
      <c r="E43" s="8" t="s">
        <v>296</v>
      </c>
      <c r="F43" s="8" t="s">
        <v>211</v>
      </c>
      <c r="G43" s="10" t="s">
        <v>297</v>
      </c>
      <c r="H43" s="11" t="s">
        <v>298</v>
      </c>
      <c r="I43" s="11" t="s">
        <v>299</v>
      </c>
      <c r="J43" s="11" t="s">
        <v>300</v>
      </c>
      <c r="K43" s="11" t="s">
        <v>43</v>
      </c>
      <c r="L43" s="12">
        <v>3500</v>
      </c>
      <c r="M43" s="13">
        <v>500</v>
      </c>
      <c r="N43" s="13">
        <v>500</v>
      </c>
      <c r="O43" s="14">
        <v>45972</v>
      </c>
      <c r="P43" s="11">
        <v>46053</v>
      </c>
      <c r="Q43" s="11">
        <v>46142</v>
      </c>
      <c r="R43" s="11"/>
      <c r="S43" s="11"/>
      <c r="T43" s="15"/>
      <c r="U43" s="11"/>
      <c r="V43" s="11"/>
      <c r="W43" s="8"/>
      <c r="X43" s="8"/>
      <c r="Y43" s="8"/>
      <c r="Z43" s="11"/>
      <c r="AA43" s="8"/>
      <c r="AB43" s="8"/>
      <c r="AC43" s="8"/>
      <c r="AD43" s="11"/>
      <c r="AE43" s="11"/>
      <c r="AF43" s="11"/>
      <c r="AG43" s="11"/>
      <c r="AH43" s="11"/>
      <c r="AI43" s="11">
        <f t="shared" si="4"/>
        <v>46142</v>
      </c>
    </row>
    <row r="44" spans="1:35" s="16" customFormat="1" ht="16.95" customHeight="1" x14ac:dyDescent="0.3">
      <c r="A44" s="6">
        <f>Liquidados!A289+1</f>
        <v>47</v>
      </c>
      <c r="B44" s="7" t="s">
        <v>301</v>
      </c>
      <c r="C44" s="8" t="s">
        <v>302</v>
      </c>
      <c r="D44" s="9" t="s">
        <v>303</v>
      </c>
      <c r="E44" s="8" t="s">
        <v>61</v>
      </c>
      <c r="F44" s="8" t="s">
        <v>62</v>
      </c>
      <c r="G44" s="10" t="s">
        <v>304</v>
      </c>
      <c r="H44" s="11" t="s">
        <v>305</v>
      </c>
      <c r="I44" s="11" t="s">
        <v>305</v>
      </c>
      <c r="J44" s="11" t="s">
        <v>65</v>
      </c>
      <c r="K44" s="11" t="s">
        <v>43</v>
      </c>
      <c r="L44" s="12">
        <v>4000</v>
      </c>
      <c r="M44" s="13">
        <v>500</v>
      </c>
      <c r="N44" s="13">
        <v>500</v>
      </c>
      <c r="O44" s="14">
        <v>45726</v>
      </c>
      <c r="P44" s="11">
        <v>45808</v>
      </c>
      <c r="Q44" s="11">
        <v>45900</v>
      </c>
      <c r="R44" s="11">
        <v>45961</v>
      </c>
      <c r="S44" s="11">
        <v>46053</v>
      </c>
      <c r="T44" s="15">
        <v>46142</v>
      </c>
      <c r="U44" s="11"/>
      <c r="V44" s="11"/>
      <c r="W44" s="8"/>
      <c r="X44" s="8"/>
      <c r="Y44" s="8"/>
      <c r="Z44" s="11"/>
      <c r="AA44" s="8"/>
      <c r="AB44" s="8"/>
      <c r="AC44" s="8"/>
      <c r="AD44" s="11"/>
      <c r="AE44" s="11"/>
      <c r="AF44" s="11"/>
      <c r="AG44" s="11"/>
      <c r="AH44" s="11"/>
      <c r="AI44" s="11">
        <f t="shared" si="4"/>
        <v>46142</v>
      </c>
    </row>
    <row r="45" spans="1:35" s="16" customFormat="1" ht="16.95" customHeight="1" x14ac:dyDescent="0.3">
      <c r="A45" s="6">
        <f t="shared" ref="A45:A52" si="5">A44+1</f>
        <v>48</v>
      </c>
      <c r="B45" s="7" t="s">
        <v>306</v>
      </c>
      <c r="C45" s="8" t="s">
        <v>307</v>
      </c>
      <c r="D45" s="9" t="s">
        <v>308</v>
      </c>
      <c r="E45" s="8" t="s">
        <v>309</v>
      </c>
      <c r="F45" s="8" t="s">
        <v>310</v>
      </c>
      <c r="G45" s="10" t="s">
        <v>311</v>
      </c>
      <c r="H45" s="11" t="s">
        <v>312</v>
      </c>
      <c r="I45" s="11" t="s">
        <v>313</v>
      </c>
      <c r="J45" s="11" t="s">
        <v>314</v>
      </c>
      <c r="K45" s="11" t="s">
        <v>51</v>
      </c>
      <c r="L45" s="12">
        <v>14500</v>
      </c>
      <c r="M45" s="13">
        <v>800</v>
      </c>
      <c r="N45" s="13">
        <v>800</v>
      </c>
      <c r="O45" s="14">
        <v>45369</v>
      </c>
      <c r="P45" s="11">
        <v>45473</v>
      </c>
      <c r="Q45" s="11">
        <v>45565</v>
      </c>
      <c r="R45" s="11">
        <v>45596</v>
      </c>
      <c r="S45" s="11">
        <v>45688</v>
      </c>
      <c r="T45" s="15">
        <v>45777</v>
      </c>
      <c r="U45" s="11">
        <v>45961</v>
      </c>
      <c r="V45" s="11">
        <v>46142</v>
      </c>
      <c r="W45" s="8"/>
      <c r="X45" s="8"/>
      <c r="Y45" s="8"/>
      <c r="Z45" s="11"/>
      <c r="AA45" s="8"/>
      <c r="AB45" s="8"/>
      <c r="AC45" s="8"/>
      <c r="AD45" s="11"/>
      <c r="AE45" s="11"/>
      <c r="AF45" s="11"/>
      <c r="AG45" s="11"/>
      <c r="AH45" s="11"/>
      <c r="AI45" s="11">
        <f t="shared" si="4"/>
        <v>46142</v>
      </c>
    </row>
    <row r="46" spans="1:35" s="16" customFormat="1" ht="16.95" customHeight="1" x14ac:dyDescent="0.3">
      <c r="A46" s="6">
        <f t="shared" si="5"/>
        <v>49</v>
      </c>
      <c r="B46" s="7" t="s">
        <v>315</v>
      </c>
      <c r="C46" s="8" t="s">
        <v>316</v>
      </c>
      <c r="D46" s="9" t="s">
        <v>317</v>
      </c>
      <c r="E46" s="8" t="s">
        <v>318</v>
      </c>
      <c r="F46" s="8" t="s">
        <v>122</v>
      </c>
      <c r="G46" s="10" t="s">
        <v>319</v>
      </c>
      <c r="H46" s="11" t="s">
        <v>41</v>
      </c>
      <c r="I46" s="11" t="s">
        <v>50</v>
      </c>
      <c r="J46" s="11" t="s">
        <v>50</v>
      </c>
      <c r="K46" s="11" t="s">
        <v>43</v>
      </c>
      <c r="L46" s="12">
        <v>3200</v>
      </c>
      <c r="M46" s="13">
        <v>0</v>
      </c>
      <c r="N46" s="13">
        <v>0</v>
      </c>
      <c r="O46" s="14">
        <v>45870</v>
      </c>
      <c r="P46" s="11">
        <v>45900</v>
      </c>
      <c r="Q46" s="11">
        <v>45930</v>
      </c>
      <c r="R46" s="11">
        <v>45961</v>
      </c>
      <c r="S46" s="11">
        <v>46022</v>
      </c>
      <c r="T46" s="11">
        <v>46081</v>
      </c>
      <c r="U46" s="11">
        <v>46112</v>
      </c>
      <c r="V46" s="11"/>
      <c r="W46" s="11"/>
      <c r="X46" s="11"/>
      <c r="Y46" s="11"/>
      <c r="Z46" s="11"/>
      <c r="AA46" s="8"/>
      <c r="AB46" s="8"/>
      <c r="AC46" s="8"/>
      <c r="AD46" s="11"/>
      <c r="AE46" s="11"/>
      <c r="AF46" s="11"/>
      <c r="AG46" s="11"/>
      <c r="AH46" s="11"/>
      <c r="AI46" s="11">
        <f t="shared" si="4"/>
        <v>46112</v>
      </c>
    </row>
    <row r="47" spans="1:35" s="16" customFormat="1" ht="16.95" customHeight="1" x14ac:dyDescent="0.3">
      <c r="A47" s="6">
        <f t="shared" si="5"/>
        <v>50</v>
      </c>
      <c r="B47" s="7" t="s">
        <v>320</v>
      </c>
      <c r="C47" s="8" t="s">
        <v>321</v>
      </c>
      <c r="D47" s="9" t="s">
        <v>322</v>
      </c>
      <c r="E47" s="8" t="s">
        <v>323</v>
      </c>
      <c r="F47" s="8" t="s">
        <v>115</v>
      </c>
      <c r="G47" s="10" t="s">
        <v>324</v>
      </c>
      <c r="H47" s="11" t="s">
        <v>125</v>
      </c>
      <c r="I47" s="11" t="s">
        <v>125</v>
      </c>
      <c r="J47" s="11" t="s">
        <v>126</v>
      </c>
      <c r="K47" s="11" t="s">
        <v>51</v>
      </c>
      <c r="L47" s="12">
        <v>11000</v>
      </c>
      <c r="M47" s="13">
        <v>800</v>
      </c>
      <c r="N47" s="13">
        <v>800</v>
      </c>
      <c r="O47" s="14">
        <v>45423</v>
      </c>
      <c r="P47" s="11">
        <v>45504</v>
      </c>
      <c r="Q47" s="11">
        <v>45596</v>
      </c>
      <c r="R47" s="11">
        <v>45688</v>
      </c>
      <c r="S47" s="11">
        <v>45777</v>
      </c>
      <c r="T47" s="15">
        <v>45869</v>
      </c>
      <c r="U47" s="11">
        <v>45961</v>
      </c>
      <c r="V47" s="11">
        <v>46053</v>
      </c>
      <c r="W47" s="11">
        <v>46142</v>
      </c>
      <c r="X47" s="11"/>
      <c r="Y47" s="11"/>
      <c r="Z47" s="11"/>
      <c r="AA47" s="8"/>
      <c r="AB47" s="8"/>
      <c r="AC47" s="8"/>
      <c r="AD47" s="11"/>
      <c r="AE47" s="11"/>
      <c r="AF47" s="11"/>
      <c r="AG47" s="11"/>
      <c r="AH47" s="11"/>
      <c r="AI47" s="11">
        <f t="shared" si="4"/>
        <v>46142</v>
      </c>
    </row>
    <row r="48" spans="1:35" s="16" customFormat="1" ht="16.95" customHeight="1" x14ac:dyDescent="0.3">
      <c r="A48" s="6">
        <f t="shared" si="5"/>
        <v>51</v>
      </c>
      <c r="B48" s="7" t="s">
        <v>325</v>
      </c>
      <c r="C48" s="8" t="s">
        <v>326</v>
      </c>
      <c r="D48" s="9" t="s">
        <v>327</v>
      </c>
      <c r="E48" s="8" t="s">
        <v>328</v>
      </c>
      <c r="F48" s="8" t="s">
        <v>329</v>
      </c>
      <c r="G48" s="10" t="s">
        <v>330</v>
      </c>
      <c r="H48" s="11" t="s">
        <v>331</v>
      </c>
      <c r="I48" s="11" t="s">
        <v>331</v>
      </c>
      <c r="J48" s="11" t="s">
        <v>332</v>
      </c>
      <c r="K48" s="11" t="s">
        <v>51</v>
      </c>
      <c r="L48" s="12">
        <v>9500</v>
      </c>
      <c r="M48" s="13">
        <v>800</v>
      </c>
      <c r="N48" s="13">
        <v>800</v>
      </c>
      <c r="O48" s="14">
        <v>45280</v>
      </c>
      <c r="P48" s="11">
        <v>45382</v>
      </c>
      <c r="Q48" s="11">
        <v>45473</v>
      </c>
      <c r="R48" s="11">
        <v>45565</v>
      </c>
      <c r="S48" s="11">
        <v>45657</v>
      </c>
      <c r="T48" s="15">
        <v>45716</v>
      </c>
      <c r="U48" s="11">
        <v>45808</v>
      </c>
      <c r="V48" s="11">
        <v>45900</v>
      </c>
      <c r="W48" s="11">
        <v>46081</v>
      </c>
      <c r="X48" s="11">
        <v>46173</v>
      </c>
      <c r="Y48" s="11"/>
      <c r="Z48" s="11"/>
      <c r="AA48" s="8"/>
      <c r="AB48" s="8"/>
      <c r="AC48" s="8"/>
      <c r="AD48" s="11"/>
      <c r="AE48" s="11"/>
      <c r="AF48" s="11"/>
      <c r="AG48" s="11"/>
      <c r="AH48" s="11"/>
      <c r="AI48" s="11">
        <f t="shared" si="4"/>
        <v>46173</v>
      </c>
    </row>
    <row r="49" spans="1:35" s="16" customFormat="1" ht="16.95" customHeight="1" x14ac:dyDescent="0.3">
      <c r="A49" s="6">
        <f t="shared" si="5"/>
        <v>52</v>
      </c>
      <c r="B49" s="7" t="s">
        <v>333</v>
      </c>
      <c r="C49" s="8" t="s">
        <v>334</v>
      </c>
      <c r="D49" s="9" t="s">
        <v>335</v>
      </c>
      <c r="E49" s="8" t="s">
        <v>61</v>
      </c>
      <c r="F49" s="8" t="s">
        <v>62</v>
      </c>
      <c r="G49" s="10" t="s">
        <v>336</v>
      </c>
      <c r="H49" s="11" t="s">
        <v>337</v>
      </c>
      <c r="I49" s="11" t="s">
        <v>73</v>
      </c>
      <c r="J49" s="11" t="s">
        <v>73</v>
      </c>
      <c r="K49" s="11" t="s">
        <v>43</v>
      </c>
      <c r="L49" s="12">
        <v>3800</v>
      </c>
      <c r="M49" s="13">
        <v>500</v>
      </c>
      <c r="N49" s="13">
        <v>500</v>
      </c>
      <c r="O49" s="14">
        <v>45580</v>
      </c>
      <c r="P49" s="11">
        <v>45657</v>
      </c>
      <c r="Q49" s="11">
        <v>45688</v>
      </c>
      <c r="R49" s="11">
        <v>45747</v>
      </c>
      <c r="S49" s="11">
        <v>45777</v>
      </c>
      <c r="T49" s="15">
        <v>45869</v>
      </c>
      <c r="U49" s="11">
        <v>45961</v>
      </c>
      <c r="V49" s="11">
        <v>46053</v>
      </c>
      <c r="W49" s="11">
        <v>46142</v>
      </c>
      <c r="X49" s="11"/>
      <c r="Y49" s="11"/>
      <c r="Z49" s="11"/>
      <c r="AA49" s="8"/>
      <c r="AB49" s="8"/>
      <c r="AC49" s="8"/>
      <c r="AD49" s="11"/>
      <c r="AE49" s="11"/>
      <c r="AF49" s="11"/>
      <c r="AG49" s="11"/>
      <c r="AH49" s="11"/>
      <c r="AI49" s="11">
        <f t="shared" si="4"/>
        <v>46142</v>
      </c>
    </row>
    <row r="50" spans="1:35" s="16" customFormat="1" ht="16.95" customHeight="1" x14ac:dyDescent="0.3">
      <c r="A50" s="6">
        <f t="shared" si="5"/>
        <v>53</v>
      </c>
      <c r="B50" s="7" t="s">
        <v>338</v>
      </c>
      <c r="C50" s="8" t="s">
        <v>339</v>
      </c>
      <c r="D50" s="9" t="s">
        <v>340</v>
      </c>
      <c r="E50" s="8" t="s">
        <v>341</v>
      </c>
      <c r="F50" s="8" t="s">
        <v>62</v>
      </c>
      <c r="G50" s="10" t="s">
        <v>342</v>
      </c>
      <c r="H50" s="11" t="s">
        <v>64</v>
      </c>
      <c r="I50" s="11" t="s">
        <v>65</v>
      </c>
      <c r="J50" s="11" t="s">
        <v>65</v>
      </c>
      <c r="K50" s="11" t="s">
        <v>51</v>
      </c>
      <c r="L50" s="12">
        <v>6000</v>
      </c>
      <c r="M50" s="13">
        <v>800</v>
      </c>
      <c r="N50" s="13">
        <v>800</v>
      </c>
      <c r="O50" s="14">
        <v>45677</v>
      </c>
      <c r="P50" s="11">
        <v>45777</v>
      </c>
      <c r="Q50" s="11">
        <v>45869</v>
      </c>
      <c r="R50" s="11">
        <v>45961</v>
      </c>
      <c r="S50" s="11">
        <v>46053</v>
      </c>
      <c r="T50" s="15">
        <v>46142</v>
      </c>
      <c r="U50" s="11"/>
      <c r="V50" s="11"/>
      <c r="W50" s="11"/>
      <c r="X50" s="11"/>
      <c r="Y50" s="11"/>
      <c r="Z50" s="11"/>
      <c r="AA50" s="8"/>
      <c r="AB50" s="8"/>
      <c r="AC50" s="8"/>
      <c r="AD50" s="11"/>
      <c r="AE50" s="11"/>
      <c r="AF50" s="11"/>
      <c r="AG50" s="11"/>
      <c r="AH50" s="11"/>
      <c r="AI50" s="11">
        <f t="shared" si="4"/>
        <v>46142</v>
      </c>
    </row>
    <row r="51" spans="1:35" s="16" customFormat="1" ht="16.95" customHeight="1" x14ac:dyDescent="0.3">
      <c r="A51" s="6">
        <f t="shared" si="5"/>
        <v>54</v>
      </c>
      <c r="B51" s="7" t="s">
        <v>343</v>
      </c>
      <c r="C51" s="8" t="s">
        <v>344</v>
      </c>
      <c r="D51" s="9" t="s">
        <v>345</v>
      </c>
      <c r="E51" s="8" t="s">
        <v>346</v>
      </c>
      <c r="F51" s="8" t="s">
        <v>139</v>
      </c>
      <c r="G51" s="10" t="s">
        <v>347</v>
      </c>
      <c r="H51" s="11" t="s">
        <v>348</v>
      </c>
      <c r="I51" s="11" t="s">
        <v>73</v>
      </c>
      <c r="J51" s="11" t="s">
        <v>73</v>
      </c>
      <c r="K51" s="11" t="s">
        <v>51</v>
      </c>
      <c r="L51" s="12">
        <v>9000</v>
      </c>
      <c r="M51" s="13">
        <v>1000</v>
      </c>
      <c r="N51" s="13">
        <v>900</v>
      </c>
      <c r="O51" s="14">
        <v>44998</v>
      </c>
      <c r="P51" s="11">
        <v>45169</v>
      </c>
      <c r="Q51" s="11">
        <v>45351</v>
      </c>
      <c r="R51" s="11">
        <v>45808</v>
      </c>
      <c r="S51" s="11">
        <v>45535</v>
      </c>
      <c r="T51" s="15">
        <v>45626</v>
      </c>
      <c r="U51" s="11">
        <v>45716</v>
      </c>
      <c r="V51" s="11">
        <v>45808</v>
      </c>
      <c r="W51" s="11">
        <v>45900</v>
      </c>
      <c r="X51" s="11">
        <v>45991</v>
      </c>
      <c r="Y51" s="11">
        <v>46081</v>
      </c>
      <c r="Z51" s="11">
        <v>46112</v>
      </c>
      <c r="AA51" s="8"/>
      <c r="AB51" s="8"/>
      <c r="AC51" s="8"/>
      <c r="AD51" s="11"/>
      <c r="AE51" s="11"/>
      <c r="AF51" s="11"/>
      <c r="AG51" s="11"/>
      <c r="AH51" s="11"/>
      <c r="AI51" s="11">
        <f t="shared" si="4"/>
        <v>46112</v>
      </c>
    </row>
    <row r="52" spans="1:35" s="16" customFormat="1" ht="16.95" customHeight="1" x14ac:dyDescent="0.3">
      <c r="A52" s="6">
        <f t="shared" si="5"/>
        <v>55</v>
      </c>
      <c r="B52" s="7" t="s">
        <v>349</v>
      </c>
      <c r="C52" s="8" t="s">
        <v>350</v>
      </c>
      <c r="D52" s="9" t="s">
        <v>351</v>
      </c>
      <c r="E52" s="8" t="s">
        <v>352</v>
      </c>
      <c r="F52" s="8" t="s">
        <v>204</v>
      </c>
      <c r="G52" s="10" t="s">
        <v>353</v>
      </c>
      <c r="H52" s="11" t="s">
        <v>125</v>
      </c>
      <c r="I52" s="11" t="s">
        <v>125</v>
      </c>
      <c r="J52" s="11" t="s">
        <v>126</v>
      </c>
      <c r="K52" s="11" t="s">
        <v>51</v>
      </c>
      <c r="L52" s="12">
        <v>6500</v>
      </c>
      <c r="M52" s="13">
        <v>1000</v>
      </c>
      <c r="N52" s="13">
        <v>900</v>
      </c>
      <c r="O52" s="14">
        <v>45201</v>
      </c>
      <c r="P52" s="11">
        <v>45291</v>
      </c>
      <c r="Q52" s="11">
        <v>45473</v>
      </c>
      <c r="R52" s="11">
        <v>45565</v>
      </c>
      <c r="S52" s="11">
        <v>45657</v>
      </c>
      <c r="T52" s="17">
        <v>45382</v>
      </c>
      <c r="U52" s="18">
        <v>45747</v>
      </c>
      <c r="V52" s="11">
        <v>45838</v>
      </c>
      <c r="W52" s="11">
        <v>45930</v>
      </c>
      <c r="X52" s="11">
        <v>46022</v>
      </c>
      <c r="Y52" s="11">
        <v>46112</v>
      </c>
      <c r="Z52" s="11"/>
      <c r="AA52" s="18"/>
      <c r="AB52" s="18"/>
      <c r="AC52" s="18"/>
      <c r="AD52" s="18"/>
      <c r="AE52" s="18"/>
      <c r="AF52" s="18"/>
      <c r="AG52" s="18"/>
      <c r="AH52" s="18"/>
      <c r="AI52" s="11">
        <f t="shared" si="4"/>
        <v>46112</v>
      </c>
    </row>
    <row r="53" spans="1:35" s="16" customFormat="1" ht="16.95" customHeight="1" x14ac:dyDescent="0.3">
      <c r="A53" s="6">
        <f>Liquidados!A290+1</f>
        <v>57</v>
      </c>
      <c r="B53" s="7" t="s">
        <v>354</v>
      </c>
      <c r="C53" s="36" t="s">
        <v>355</v>
      </c>
      <c r="D53" s="9" t="s">
        <v>356</v>
      </c>
      <c r="E53" s="8" t="s">
        <v>357</v>
      </c>
      <c r="F53" s="8" t="s">
        <v>197</v>
      </c>
      <c r="G53" s="10" t="s">
        <v>358</v>
      </c>
      <c r="H53" s="11" t="s">
        <v>359</v>
      </c>
      <c r="I53" s="11" t="s">
        <v>50</v>
      </c>
      <c r="J53" s="11" t="s">
        <v>50</v>
      </c>
      <c r="K53" s="11" t="s">
        <v>147</v>
      </c>
      <c r="L53" s="12">
        <v>3000</v>
      </c>
      <c r="M53" s="13">
        <v>357</v>
      </c>
      <c r="N53" s="13">
        <v>0</v>
      </c>
      <c r="O53" s="14">
        <v>45992</v>
      </c>
      <c r="P53" s="11">
        <v>46081</v>
      </c>
      <c r="Q53" s="11">
        <v>46112</v>
      </c>
      <c r="R53" s="11"/>
      <c r="S53" s="11"/>
      <c r="T53" s="15"/>
      <c r="U53" s="11"/>
      <c r="V53" s="11"/>
      <c r="W53" s="11"/>
      <c r="X53" s="11"/>
      <c r="Y53" s="11"/>
      <c r="Z53" s="11"/>
      <c r="AA53" s="8"/>
      <c r="AB53" s="8"/>
      <c r="AC53" s="8"/>
      <c r="AD53" s="11"/>
      <c r="AE53" s="11"/>
      <c r="AF53" s="11"/>
      <c r="AG53" s="11"/>
      <c r="AH53" s="11"/>
      <c r="AI53" s="11">
        <f t="shared" si="4"/>
        <v>46112</v>
      </c>
    </row>
    <row r="54" spans="1:35" s="16" customFormat="1" ht="16.95" customHeight="1" x14ac:dyDescent="0.3">
      <c r="A54" s="6">
        <f t="shared" ref="A54:A82" si="6">A53+1</f>
        <v>58</v>
      </c>
      <c r="B54" s="7" t="s">
        <v>360</v>
      </c>
      <c r="C54" s="8" t="s">
        <v>361</v>
      </c>
      <c r="D54" s="9" t="s">
        <v>362</v>
      </c>
      <c r="E54" s="8" t="s">
        <v>363</v>
      </c>
      <c r="F54" s="8" t="s">
        <v>290</v>
      </c>
      <c r="G54" s="10" t="s">
        <v>364</v>
      </c>
      <c r="H54" s="11" t="s">
        <v>365</v>
      </c>
      <c r="I54" s="11" t="s">
        <v>300</v>
      </c>
      <c r="J54" s="11" t="s">
        <v>300</v>
      </c>
      <c r="K54" s="11" t="s">
        <v>51</v>
      </c>
      <c r="L54" s="12">
        <v>5800</v>
      </c>
      <c r="M54" s="13">
        <v>800</v>
      </c>
      <c r="N54" s="13">
        <v>800</v>
      </c>
      <c r="O54" s="14">
        <v>45748</v>
      </c>
      <c r="P54" s="11">
        <v>45838</v>
      </c>
      <c r="Q54" s="11">
        <v>45930</v>
      </c>
      <c r="R54" s="11">
        <v>46022</v>
      </c>
      <c r="S54" s="11">
        <v>46112</v>
      </c>
      <c r="T54" s="17"/>
      <c r="U54" s="18"/>
      <c r="V54" s="11"/>
      <c r="W54" s="11"/>
      <c r="X54" s="11"/>
      <c r="Y54" s="11"/>
      <c r="Z54" s="11"/>
      <c r="AA54" s="18"/>
      <c r="AB54" s="18"/>
      <c r="AC54" s="18"/>
      <c r="AD54" s="18"/>
      <c r="AE54" s="18"/>
      <c r="AF54" s="18"/>
      <c r="AG54" s="18"/>
      <c r="AH54" s="18"/>
      <c r="AI54" s="11">
        <f t="shared" si="4"/>
        <v>46112</v>
      </c>
    </row>
    <row r="55" spans="1:35" s="16" customFormat="1" ht="16.95" customHeight="1" x14ac:dyDescent="0.3">
      <c r="A55" s="6">
        <f t="shared" si="6"/>
        <v>59</v>
      </c>
      <c r="B55" s="7" t="s">
        <v>366</v>
      </c>
      <c r="C55" s="8" t="s">
        <v>367</v>
      </c>
      <c r="D55" s="9" t="s">
        <v>368</v>
      </c>
      <c r="E55" s="8" t="s">
        <v>369</v>
      </c>
      <c r="F55" s="8" t="s">
        <v>131</v>
      </c>
      <c r="G55" s="10" t="s">
        <v>370</v>
      </c>
      <c r="H55" s="11" t="s">
        <v>371</v>
      </c>
      <c r="I55" s="11" t="s">
        <v>50</v>
      </c>
      <c r="J55" s="11" t="s">
        <v>50</v>
      </c>
      <c r="K55" s="11" t="s">
        <v>43</v>
      </c>
      <c r="L55" s="12">
        <v>2800</v>
      </c>
      <c r="M55" s="13">
        <v>0</v>
      </c>
      <c r="N55" s="13">
        <v>0</v>
      </c>
      <c r="O55" s="14">
        <v>45439</v>
      </c>
      <c r="P55" s="11">
        <v>45535</v>
      </c>
      <c r="Q55" s="11">
        <v>45626</v>
      </c>
      <c r="R55" s="11">
        <v>45716</v>
      </c>
      <c r="S55" s="11">
        <v>45808</v>
      </c>
      <c r="T55" s="15">
        <v>45900</v>
      </c>
      <c r="U55" s="11">
        <v>45961</v>
      </c>
      <c r="V55" s="11">
        <v>46022</v>
      </c>
      <c r="W55" s="11">
        <v>46053</v>
      </c>
      <c r="X55" s="11">
        <v>46081</v>
      </c>
      <c r="Y55" s="11">
        <v>46112</v>
      </c>
      <c r="Z55" s="11"/>
      <c r="AA55" s="8"/>
      <c r="AB55" s="8"/>
      <c r="AC55" s="8"/>
      <c r="AD55" s="11"/>
      <c r="AE55" s="11"/>
      <c r="AF55" s="11"/>
      <c r="AG55" s="11"/>
      <c r="AH55" s="11"/>
      <c r="AI55" s="11">
        <f t="shared" si="4"/>
        <v>46112</v>
      </c>
    </row>
    <row r="56" spans="1:35" s="16" customFormat="1" ht="16.95" customHeight="1" x14ac:dyDescent="0.3">
      <c r="A56" s="6">
        <f t="shared" si="6"/>
        <v>60</v>
      </c>
      <c r="B56" s="7" t="s">
        <v>372</v>
      </c>
      <c r="C56" s="8" t="s">
        <v>373</v>
      </c>
      <c r="D56" s="9" t="s">
        <v>374</v>
      </c>
      <c r="E56" s="8" t="s">
        <v>210</v>
      </c>
      <c r="F56" s="8" t="s">
        <v>179</v>
      </c>
      <c r="G56" s="10" t="s">
        <v>375</v>
      </c>
      <c r="H56" s="11" t="s">
        <v>41</v>
      </c>
      <c r="I56" s="11" t="s">
        <v>50</v>
      </c>
      <c r="J56" s="11" t="s">
        <v>50</v>
      </c>
      <c r="K56" s="11" t="s">
        <v>147</v>
      </c>
      <c r="L56" s="12">
        <v>2100</v>
      </c>
      <c r="M56" s="13">
        <v>375</v>
      </c>
      <c r="N56" s="13"/>
      <c r="O56" s="14">
        <v>46020</v>
      </c>
      <c r="P56" s="11">
        <v>46112</v>
      </c>
      <c r="Q56" s="11"/>
      <c r="R56" s="11"/>
      <c r="S56" s="11"/>
      <c r="T56" s="15"/>
      <c r="U56" s="11"/>
      <c r="V56" s="11"/>
      <c r="W56" s="11"/>
      <c r="X56" s="11"/>
      <c r="Y56" s="11"/>
      <c r="Z56" s="11"/>
      <c r="AA56" s="8"/>
      <c r="AB56" s="8"/>
      <c r="AC56" s="8"/>
      <c r="AD56" s="11"/>
      <c r="AE56" s="11"/>
      <c r="AF56" s="11"/>
      <c r="AG56" s="11"/>
      <c r="AH56" s="11"/>
      <c r="AI56" s="11">
        <f t="shared" si="4"/>
        <v>46112</v>
      </c>
    </row>
    <row r="57" spans="1:35" s="16" customFormat="1" ht="16.95" customHeight="1" x14ac:dyDescent="0.3">
      <c r="A57" s="6">
        <f t="shared" si="6"/>
        <v>61</v>
      </c>
      <c r="B57" s="7" t="s">
        <v>376</v>
      </c>
      <c r="C57" s="8" t="s">
        <v>377</v>
      </c>
      <c r="D57" s="9" t="s">
        <v>378</v>
      </c>
      <c r="E57" s="8" t="s">
        <v>145</v>
      </c>
      <c r="F57" s="8" t="s">
        <v>131</v>
      </c>
      <c r="G57" s="10" t="s">
        <v>379</v>
      </c>
      <c r="H57" s="11" t="s">
        <v>110</v>
      </c>
      <c r="I57" s="11" t="s">
        <v>110</v>
      </c>
      <c r="J57" s="11" t="s">
        <v>65</v>
      </c>
      <c r="K57" s="11" t="s">
        <v>43</v>
      </c>
      <c r="L57" s="12">
        <v>4000</v>
      </c>
      <c r="M57" s="13">
        <v>500</v>
      </c>
      <c r="N57" s="13">
        <v>500</v>
      </c>
      <c r="O57" s="14">
        <v>45677</v>
      </c>
      <c r="P57" s="11">
        <v>45777</v>
      </c>
      <c r="Q57" s="11">
        <v>45869</v>
      </c>
      <c r="R57" s="11">
        <v>45930</v>
      </c>
      <c r="S57" s="11">
        <v>46022</v>
      </c>
      <c r="T57" s="11">
        <v>46112</v>
      </c>
      <c r="U57" s="18"/>
      <c r="V57" s="11"/>
      <c r="W57" s="11"/>
      <c r="X57" s="11"/>
      <c r="Y57" s="11"/>
      <c r="Z57" s="11"/>
      <c r="AA57" s="18"/>
      <c r="AB57" s="18"/>
      <c r="AC57" s="18"/>
      <c r="AD57" s="18"/>
      <c r="AE57" s="18"/>
      <c r="AF57" s="18"/>
      <c r="AG57" s="18"/>
      <c r="AH57" s="18"/>
      <c r="AI57" s="11">
        <f t="shared" si="4"/>
        <v>46112</v>
      </c>
    </row>
    <row r="58" spans="1:35" s="16" customFormat="1" ht="16.95" customHeight="1" x14ac:dyDescent="0.3">
      <c r="A58" s="6">
        <f t="shared" si="6"/>
        <v>62</v>
      </c>
      <c r="B58" s="7" t="s">
        <v>380</v>
      </c>
      <c r="C58" s="8" t="s">
        <v>381</v>
      </c>
      <c r="D58" s="19" t="s">
        <v>382</v>
      </c>
      <c r="E58" s="8" t="s">
        <v>383</v>
      </c>
      <c r="F58" s="8" t="s">
        <v>179</v>
      </c>
      <c r="G58" s="10" t="s">
        <v>384</v>
      </c>
      <c r="H58" s="11" t="s">
        <v>41</v>
      </c>
      <c r="I58" s="11" t="s">
        <v>42</v>
      </c>
      <c r="J58" s="11" t="s">
        <v>42</v>
      </c>
      <c r="K58" s="11" t="s">
        <v>43</v>
      </c>
      <c r="L58" s="12">
        <v>2500</v>
      </c>
      <c r="M58" s="13">
        <v>375</v>
      </c>
      <c r="N58" s="13" t="s">
        <v>385</v>
      </c>
      <c r="O58" s="14">
        <v>46039</v>
      </c>
      <c r="P58" s="11">
        <v>46142</v>
      </c>
      <c r="Q58" s="11"/>
      <c r="R58" s="11"/>
      <c r="S58" s="11"/>
      <c r="T58" s="15"/>
      <c r="U58" s="11"/>
      <c r="V58" s="11"/>
      <c r="W58" s="11"/>
      <c r="X58" s="11"/>
      <c r="Y58" s="11"/>
      <c r="Z58" s="11"/>
      <c r="AA58" s="8"/>
      <c r="AB58" s="8"/>
      <c r="AC58" s="8"/>
      <c r="AD58" s="11"/>
      <c r="AE58" s="11"/>
      <c r="AF58" s="11"/>
      <c r="AG58" s="11"/>
      <c r="AH58" s="11"/>
      <c r="AI58" s="11">
        <f t="shared" si="4"/>
        <v>46142</v>
      </c>
    </row>
    <row r="59" spans="1:35" s="16" customFormat="1" ht="16.95" customHeight="1" x14ac:dyDescent="0.3">
      <c r="A59" s="6">
        <f t="shared" si="6"/>
        <v>63</v>
      </c>
      <c r="B59" s="7" t="s">
        <v>386</v>
      </c>
      <c r="C59" s="8" t="s">
        <v>387</v>
      </c>
      <c r="D59" s="9" t="s">
        <v>388</v>
      </c>
      <c r="E59" s="8" t="s">
        <v>61</v>
      </c>
      <c r="F59" s="8" t="s">
        <v>62</v>
      </c>
      <c r="G59" s="10" t="s">
        <v>389</v>
      </c>
      <c r="H59" s="11" t="s">
        <v>348</v>
      </c>
      <c r="I59" s="11" t="s">
        <v>73</v>
      </c>
      <c r="J59" s="11" t="s">
        <v>73</v>
      </c>
      <c r="K59" s="11" t="s">
        <v>43</v>
      </c>
      <c r="L59" s="12">
        <v>3700</v>
      </c>
      <c r="M59" s="13">
        <v>500</v>
      </c>
      <c r="N59" s="13">
        <v>500</v>
      </c>
      <c r="O59" s="14">
        <v>45887</v>
      </c>
      <c r="P59" s="11">
        <v>45961</v>
      </c>
      <c r="Q59" s="11">
        <v>46053</v>
      </c>
      <c r="R59" s="11">
        <v>46142</v>
      </c>
      <c r="S59" s="11"/>
      <c r="T59" s="15"/>
      <c r="U59" s="11"/>
      <c r="V59" s="11"/>
      <c r="W59" s="11"/>
      <c r="X59" s="11"/>
      <c r="Y59" s="11"/>
      <c r="Z59" s="11"/>
      <c r="AA59" s="8"/>
      <c r="AB59" s="8"/>
      <c r="AC59" s="8"/>
      <c r="AD59" s="11"/>
      <c r="AE59" s="11"/>
      <c r="AF59" s="11"/>
      <c r="AG59" s="11"/>
      <c r="AH59" s="11"/>
      <c r="AI59" s="11">
        <f t="shared" si="4"/>
        <v>46142</v>
      </c>
    </row>
    <row r="60" spans="1:35" s="16" customFormat="1" ht="16.95" customHeight="1" x14ac:dyDescent="0.3">
      <c r="A60" s="6">
        <f t="shared" si="6"/>
        <v>64</v>
      </c>
      <c r="B60" s="7" t="s">
        <v>390</v>
      </c>
      <c r="C60" s="8" t="s">
        <v>391</v>
      </c>
      <c r="D60" s="9" t="s">
        <v>392</v>
      </c>
      <c r="E60" s="8" t="s">
        <v>393</v>
      </c>
      <c r="F60" s="8" t="s">
        <v>115</v>
      </c>
      <c r="G60" s="10" t="s">
        <v>394</v>
      </c>
      <c r="H60" s="11" t="s">
        <v>337</v>
      </c>
      <c r="I60" s="11" t="s">
        <v>73</v>
      </c>
      <c r="J60" s="11" t="s">
        <v>73</v>
      </c>
      <c r="K60" s="11" t="s">
        <v>51</v>
      </c>
      <c r="L60" s="12">
        <v>5000</v>
      </c>
      <c r="M60" s="13">
        <v>800</v>
      </c>
      <c r="N60" s="13">
        <v>800</v>
      </c>
      <c r="O60" s="14">
        <v>45709</v>
      </c>
      <c r="P60" s="11">
        <v>45808</v>
      </c>
      <c r="Q60" s="11">
        <v>45900</v>
      </c>
      <c r="R60" s="11">
        <v>45991</v>
      </c>
      <c r="S60" s="11">
        <v>46081</v>
      </c>
      <c r="T60" s="15">
        <v>46112</v>
      </c>
      <c r="U60" s="11"/>
      <c r="V60" s="11"/>
      <c r="W60" s="11"/>
      <c r="X60" s="11"/>
      <c r="Y60" s="11"/>
      <c r="Z60" s="11"/>
      <c r="AA60" s="8"/>
      <c r="AB60" s="8"/>
      <c r="AC60" s="8"/>
      <c r="AD60" s="11"/>
      <c r="AE60" s="11"/>
      <c r="AF60" s="11"/>
      <c r="AG60" s="11"/>
      <c r="AH60" s="11"/>
      <c r="AI60" s="11">
        <f t="shared" si="4"/>
        <v>46112</v>
      </c>
    </row>
    <row r="61" spans="1:35" s="16" customFormat="1" ht="16.95" customHeight="1" x14ac:dyDescent="0.3">
      <c r="A61" s="6">
        <f t="shared" si="6"/>
        <v>65</v>
      </c>
      <c r="B61" s="7" t="s">
        <v>395</v>
      </c>
      <c r="C61" s="8" t="s">
        <v>396</v>
      </c>
      <c r="D61" s="9" t="s">
        <v>397</v>
      </c>
      <c r="E61" s="8" t="s">
        <v>398</v>
      </c>
      <c r="F61" s="8" t="s">
        <v>204</v>
      </c>
      <c r="G61" s="10" t="s">
        <v>399</v>
      </c>
      <c r="H61" s="11" t="s">
        <v>65</v>
      </c>
      <c r="I61" s="11" t="s">
        <v>65</v>
      </c>
      <c r="J61" s="11" t="s">
        <v>65</v>
      </c>
      <c r="K61" s="11" t="s">
        <v>51</v>
      </c>
      <c r="L61" s="12">
        <v>13040</v>
      </c>
      <c r="M61" s="13">
        <v>1000</v>
      </c>
      <c r="N61" s="13">
        <v>900</v>
      </c>
      <c r="O61" s="14">
        <v>44927</v>
      </c>
      <c r="P61" s="11">
        <v>45107</v>
      </c>
      <c r="Q61" s="11">
        <v>45199</v>
      </c>
      <c r="R61" s="11">
        <v>45291</v>
      </c>
      <c r="S61" s="11">
        <v>45565</v>
      </c>
      <c r="T61" s="15">
        <v>45382</v>
      </c>
      <c r="U61" s="11">
        <v>45747</v>
      </c>
      <c r="V61" s="11">
        <v>45930</v>
      </c>
      <c r="W61" s="11">
        <v>46081</v>
      </c>
      <c r="X61" s="11"/>
      <c r="Y61" s="11"/>
      <c r="Z61" s="11"/>
      <c r="AA61" s="8"/>
      <c r="AB61" s="8"/>
      <c r="AC61" s="8"/>
      <c r="AD61" s="11"/>
      <c r="AE61" s="11"/>
      <c r="AF61" s="11"/>
      <c r="AG61" s="11"/>
      <c r="AH61" s="11"/>
      <c r="AI61" s="11">
        <f t="shared" si="4"/>
        <v>46081</v>
      </c>
    </row>
    <row r="62" spans="1:35" s="16" customFormat="1" ht="16.95" customHeight="1" x14ac:dyDescent="0.3">
      <c r="A62" s="6">
        <f t="shared" si="6"/>
        <v>66</v>
      </c>
      <c r="B62" s="7" t="s">
        <v>400</v>
      </c>
      <c r="C62" s="8" t="s">
        <v>401</v>
      </c>
      <c r="D62" s="9" t="s">
        <v>402</v>
      </c>
      <c r="E62" s="8" t="s">
        <v>171</v>
      </c>
      <c r="F62" s="8" t="s">
        <v>131</v>
      </c>
      <c r="G62" s="10" t="s">
        <v>403</v>
      </c>
      <c r="H62" s="11" t="s">
        <v>141</v>
      </c>
      <c r="I62" s="11" t="s">
        <v>73</v>
      </c>
      <c r="J62" s="11" t="s">
        <v>73</v>
      </c>
      <c r="K62" s="11" t="s">
        <v>147</v>
      </c>
      <c r="L62" s="12">
        <v>42322.13</v>
      </c>
      <c r="M62" s="13"/>
      <c r="N62" s="13"/>
      <c r="O62" s="14" t="s">
        <v>206</v>
      </c>
      <c r="P62" s="11">
        <v>45991</v>
      </c>
      <c r="Q62" s="11">
        <v>46173</v>
      </c>
      <c r="R62" s="11"/>
      <c r="S62" s="11"/>
      <c r="T62" s="15"/>
      <c r="U62" s="11"/>
      <c r="V62" s="11"/>
      <c r="W62" s="11"/>
      <c r="X62" s="11"/>
      <c r="Y62" s="11"/>
      <c r="Z62" s="11"/>
      <c r="AA62" s="8"/>
      <c r="AB62" s="8"/>
      <c r="AC62" s="8"/>
      <c r="AD62" s="11"/>
      <c r="AE62" s="11"/>
      <c r="AF62" s="11"/>
      <c r="AG62" s="11"/>
      <c r="AH62" s="11"/>
      <c r="AI62" s="11">
        <f t="shared" si="4"/>
        <v>46173</v>
      </c>
    </row>
    <row r="63" spans="1:35" s="16" customFormat="1" ht="16.95" customHeight="1" x14ac:dyDescent="0.3">
      <c r="A63" s="6">
        <f t="shared" si="6"/>
        <v>67</v>
      </c>
      <c r="B63" s="7" t="s">
        <v>404</v>
      </c>
      <c r="C63" s="8" t="s">
        <v>405</v>
      </c>
      <c r="D63" s="9" t="s">
        <v>406</v>
      </c>
      <c r="E63" s="8" t="s">
        <v>407</v>
      </c>
      <c r="F63" s="8" t="s">
        <v>131</v>
      </c>
      <c r="G63" s="10" t="s">
        <v>408</v>
      </c>
      <c r="H63" s="11" t="s">
        <v>409</v>
      </c>
      <c r="I63" s="11" t="s">
        <v>73</v>
      </c>
      <c r="J63" s="11" t="s">
        <v>73</v>
      </c>
      <c r="K63" s="11" t="s">
        <v>43</v>
      </c>
      <c r="L63" s="12">
        <v>4500</v>
      </c>
      <c r="M63" s="13">
        <v>500</v>
      </c>
      <c r="N63" s="13">
        <v>500</v>
      </c>
      <c r="O63" s="14">
        <v>45931</v>
      </c>
      <c r="P63" s="11">
        <v>46022</v>
      </c>
      <c r="Q63" s="11">
        <v>46053</v>
      </c>
      <c r="R63" s="11">
        <v>46081</v>
      </c>
      <c r="S63" s="11">
        <v>46112</v>
      </c>
      <c r="T63" s="15"/>
      <c r="U63" s="11"/>
      <c r="V63" s="11"/>
      <c r="W63" s="11"/>
      <c r="X63" s="11"/>
      <c r="Y63" s="11"/>
      <c r="Z63" s="11"/>
      <c r="AA63" s="8"/>
      <c r="AB63" s="8"/>
      <c r="AC63" s="8"/>
      <c r="AD63" s="11"/>
      <c r="AE63" s="11"/>
      <c r="AF63" s="11"/>
      <c r="AG63" s="11"/>
      <c r="AH63" s="11"/>
      <c r="AI63" s="11">
        <f t="shared" si="4"/>
        <v>46112</v>
      </c>
    </row>
    <row r="64" spans="1:35" s="16" customFormat="1" ht="16.95" customHeight="1" x14ac:dyDescent="0.3">
      <c r="A64" s="6">
        <f t="shared" si="6"/>
        <v>68</v>
      </c>
      <c r="B64" s="7" t="s">
        <v>410</v>
      </c>
      <c r="C64" s="8" t="s">
        <v>411</v>
      </c>
      <c r="D64" s="9" t="s">
        <v>412</v>
      </c>
      <c r="E64" s="8" t="s">
        <v>413</v>
      </c>
      <c r="F64" s="8" t="s">
        <v>131</v>
      </c>
      <c r="G64" s="10" t="s">
        <v>414</v>
      </c>
      <c r="H64" s="11" t="s">
        <v>415</v>
      </c>
      <c r="I64" s="11" t="s">
        <v>416</v>
      </c>
      <c r="J64" s="11" t="s">
        <v>50</v>
      </c>
      <c r="K64" s="11" t="s">
        <v>43</v>
      </c>
      <c r="L64" s="12">
        <v>2100</v>
      </c>
      <c r="M64" s="13">
        <v>0</v>
      </c>
      <c r="N64" s="13">
        <v>0</v>
      </c>
      <c r="O64" s="14">
        <v>45615</v>
      </c>
      <c r="P64" s="11">
        <v>45716</v>
      </c>
      <c r="Q64" s="11">
        <v>45808</v>
      </c>
      <c r="R64" s="11">
        <v>45900</v>
      </c>
      <c r="S64" s="11">
        <v>45930</v>
      </c>
      <c r="T64" s="15">
        <v>46022</v>
      </c>
      <c r="U64" s="11">
        <v>46053</v>
      </c>
      <c r="V64" s="11">
        <v>46081</v>
      </c>
      <c r="W64" s="11">
        <v>46112</v>
      </c>
      <c r="X64" s="11"/>
      <c r="Y64" s="11"/>
      <c r="Z64" s="11"/>
      <c r="AA64" s="8"/>
      <c r="AB64" s="8"/>
      <c r="AC64" s="8"/>
      <c r="AD64" s="11"/>
      <c r="AE64" s="11"/>
      <c r="AF64" s="11"/>
      <c r="AG64" s="11"/>
      <c r="AH64" s="11"/>
      <c r="AI64" s="11">
        <f t="shared" si="4"/>
        <v>46112</v>
      </c>
    </row>
    <row r="65" spans="1:36" s="16" customFormat="1" ht="16.95" customHeight="1" x14ac:dyDescent="0.3">
      <c r="A65" s="6">
        <f t="shared" si="6"/>
        <v>69</v>
      </c>
      <c r="B65" s="7" t="s">
        <v>417</v>
      </c>
      <c r="C65" s="8" t="s">
        <v>418</v>
      </c>
      <c r="D65" s="9" t="s">
        <v>419</v>
      </c>
      <c r="E65" s="8" t="s">
        <v>420</v>
      </c>
      <c r="F65" s="8" t="s">
        <v>290</v>
      </c>
      <c r="G65" s="10" t="s">
        <v>421</v>
      </c>
      <c r="H65" s="11" t="s">
        <v>173</v>
      </c>
      <c r="I65" s="11" t="s">
        <v>73</v>
      </c>
      <c r="J65" s="11" t="s">
        <v>73</v>
      </c>
      <c r="K65" s="11" t="s">
        <v>43</v>
      </c>
      <c r="L65" s="12">
        <v>17000</v>
      </c>
      <c r="M65" s="13">
        <v>1000</v>
      </c>
      <c r="N65" s="13">
        <v>0</v>
      </c>
      <c r="O65" s="14">
        <v>45009</v>
      </c>
      <c r="P65" s="11">
        <v>45382</v>
      </c>
      <c r="Q65" s="11">
        <v>45565</v>
      </c>
      <c r="R65" s="11">
        <v>45747</v>
      </c>
      <c r="S65" s="11">
        <v>45930</v>
      </c>
      <c r="T65" s="15">
        <v>46081</v>
      </c>
      <c r="U65" s="11">
        <v>46173</v>
      </c>
      <c r="V65" s="11"/>
      <c r="W65" s="11"/>
      <c r="X65" s="11"/>
      <c r="Y65" s="11"/>
      <c r="Z65" s="11"/>
      <c r="AA65" s="8"/>
      <c r="AB65" s="8"/>
      <c r="AC65" s="8"/>
      <c r="AD65" s="11"/>
      <c r="AE65" s="11"/>
      <c r="AF65" s="11"/>
      <c r="AG65" s="11"/>
      <c r="AH65" s="11"/>
      <c r="AI65" s="11">
        <f t="shared" si="4"/>
        <v>46173</v>
      </c>
    </row>
    <row r="66" spans="1:36" s="16" customFormat="1" ht="16.95" customHeight="1" x14ac:dyDescent="0.3">
      <c r="A66" s="6">
        <f t="shared" si="6"/>
        <v>70</v>
      </c>
      <c r="B66" s="7" t="s">
        <v>422</v>
      </c>
      <c r="C66" s="8" t="s">
        <v>423</v>
      </c>
      <c r="D66" s="9" t="s">
        <v>424</v>
      </c>
      <c r="E66" s="8" t="s">
        <v>61</v>
      </c>
      <c r="F66" s="8" t="s">
        <v>62</v>
      </c>
      <c r="G66" s="10" t="s">
        <v>425</v>
      </c>
      <c r="H66" s="11" t="s">
        <v>426</v>
      </c>
      <c r="I66" s="11" t="s">
        <v>125</v>
      </c>
      <c r="J66" s="11" t="s">
        <v>126</v>
      </c>
      <c r="K66" s="11" t="s">
        <v>43</v>
      </c>
      <c r="L66" s="12">
        <v>4000</v>
      </c>
      <c r="M66" s="13">
        <v>500</v>
      </c>
      <c r="N66" s="13">
        <v>500</v>
      </c>
      <c r="O66" s="14">
        <v>45677</v>
      </c>
      <c r="P66" s="11">
        <v>45777</v>
      </c>
      <c r="Q66" s="11">
        <v>45869</v>
      </c>
      <c r="R66" s="11">
        <v>45961</v>
      </c>
      <c r="S66" s="11">
        <v>46053</v>
      </c>
      <c r="T66" s="15">
        <v>46142</v>
      </c>
      <c r="U66" s="11"/>
      <c r="V66" s="11"/>
      <c r="W66" s="11"/>
      <c r="X66" s="11"/>
      <c r="Y66" s="11"/>
      <c r="Z66" s="11"/>
      <c r="AA66" s="8"/>
      <c r="AB66" s="8"/>
      <c r="AC66" s="8"/>
      <c r="AD66" s="11"/>
      <c r="AE66" s="11"/>
      <c r="AF66" s="11"/>
      <c r="AG66" s="11"/>
      <c r="AH66" s="11"/>
      <c r="AI66" s="11">
        <f t="shared" si="4"/>
        <v>46142</v>
      </c>
    </row>
    <row r="67" spans="1:36" s="16" customFormat="1" ht="16.95" customHeight="1" x14ac:dyDescent="0.3">
      <c r="A67" s="6">
        <f t="shared" si="6"/>
        <v>71</v>
      </c>
      <c r="B67" s="7" t="s">
        <v>427</v>
      </c>
      <c r="C67" s="8" t="s">
        <v>428</v>
      </c>
      <c r="D67" s="9" t="s">
        <v>429</v>
      </c>
      <c r="E67" s="8" t="s">
        <v>369</v>
      </c>
      <c r="F67" s="8" t="s">
        <v>131</v>
      </c>
      <c r="G67" s="10" t="s">
        <v>430</v>
      </c>
      <c r="H67" s="11" t="s">
        <v>431</v>
      </c>
      <c r="I67" s="11" t="s">
        <v>431</v>
      </c>
      <c r="J67" s="11" t="s">
        <v>50</v>
      </c>
      <c r="K67" s="11" t="s">
        <v>43</v>
      </c>
      <c r="L67" s="12">
        <v>2500</v>
      </c>
      <c r="M67" s="13">
        <v>0</v>
      </c>
      <c r="N67" s="13">
        <v>0</v>
      </c>
      <c r="O67" s="14">
        <v>45594</v>
      </c>
      <c r="P67" s="11">
        <v>45688</v>
      </c>
      <c r="Q67" s="11">
        <v>45777</v>
      </c>
      <c r="R67" s="11">
        <v>45869</v>
      </c>
      <c r="S67" s="11">
        <v>45930</v>
      </c>
      <c r="T67" s="15">
        <v>46022</v>
      </c>
      <c r="U67" s="11">
        <v>46053</v>
      </c>
      <c r="V67" s="11">
        <v>46081</v>
      </c>
      <c r="W67" s="11">
        <v>46112</v>
      </c>
      <c r="X67" s="11"/>
      <c r="Y67" s="11"/>
      <c r="Z67" s="11"/>
      <c r="AA67" s="8"/>
      <c r="AB67" s="8"/>
      <c r="AC67" s="8"/>
      <c r="AD67" s="11"/>
      <c r="AE67" s="11"/>
      <c r="AF67" s="11"/>
      <c r="AG67" s="11"/>
      <c r="AH67" s="11"/>
      <c r="AI67" s="11">
        <f t="shared" ref="AI67:AI98" si="7">+MAX(O67:AH67)</f>
        <v>46112</v>
      </c>
    </row>
    <row r="68" spans="1:36" s="16" customFormat="1" ht="16.95" customHeight="1" x14ac:dyDescent="0.3">
      <c r="A68" s="6">
        <f t="shared" si="6"/>
        <v>72</v>
      </c>
      <c r="B68" s="7" t="s">
        <v>432</v>
      </c>
      <c r="C68" s="8" t="s">
        <v>433</v>
      </c>
      <c r="D68" s="9" t="s">
        <v>434</v>
      </c>
      <c r="E68" s="8" t="s">
        <v>435</v>
      </c>
      <c r="F68" s="8" t="s">
        <v>264</v>
      </c>
      <c r="G68" s="10" t="s">
        <v>436</v>
      </c>
      <c r="H68" s="11" t="s">
        <v>371</v>
      </c>
      <c r="I68" s="11" t="s">
        <v>50</v>
      </c>
      <c r="J68" s="11" t="s">
        <v>50</v>
      </c>
      <c r="K68" s="11" t="s">
        <v>51</v>
      </c>
      <c r="L68" s="12">
        <v>8500</v>
      </c>
      <c r="M68" s="13">
        <v>375</v>
      </c>
      <c r="N68" s="13">
        <v>0</v>
      </c>
      <c r="O68" s="14">
        <v>44956</v>
      </c>
      <c r="P68" s="11">
        <v>45138</v>
      </c>
      <c r="Q68" s="11">
        <v>45230</v>
      </c>
      <c r="R68" s="11">
        <v>45322</v>
      </c>
      <c r="S68" s="11">
        <v>45473</v>
      </c>
      <c r="T68" s="17">
        <v>45382</v>
      </c>
      <c r="U68" s="18">
        <v>45565</v>
      </c>
      <c r="V68" s="11">
        <v>45657</v>
      </c>
      <c r="W68" s="11">
        <v>45747</v>
      </c>
      <c r="X68" s="11">
        <v>45838</v>
      </c>
      <c r="Y68" s="11">
        <v>45930</v>
      </c>
      <c r="Z68" s="11">
        <v>46022</v>
      </c>
      <c r="AA68" s="11">
        <v>46112</v>
      </c>
      <c r="AB68" s="18"/>
      <c r="AC68" s="18"/>
      <c r="AD68" s="18"/>
      <c r="AE68" s="18"/>
      <c r="AF68" s="18"/>
      <c r="AG68" s="18"/>
      <c r="AH68" s="18"/>
      <c r="AI68" s="11">
        <f t="shared" si="7"/>
        <v>46112</v>
      </c>
    </row>
    <row r="69" spans="1:36" s="16" customFormat="1" ht="16.95" customHeight="1" x14ac:dyDescent="0.3">
      <c r="A69" s="6">
        <f t="shared" si="6"/>
        <v>73</v>
      </c>
      <c r="B69" s="7" t="s">
        <v>437</v>
      </c>
      <c r="C69" s="8" t="s">
        <v>438</v>
      </c>
      <c r="D69" s="9" t="s">
        <v>439</v>
      </c>
      <c r="E69" s="8" t="s">
        <v>440</v>
      </c>
      <c r="F69" s="8" t="s">
        <v>85</v>
      </c>
      <c r="G69" s="10" t="s">
        <v>441</v>
      </c>
      <c r="H69" s="11" t="s">
        <v>50</v>
      </c>
      <c r="I69" s="11" t="s">
        <v>50</v>
      </c>
      <c r="J69" s="11" t="s">
        <v>50</v>
      </c>
      <c r="K69" s="11" t="s">
        <v>43</v>
      </c>
      <c r="L69" s="12">
        <v>2000</v>
      </c>
      <c r="M69" s="13">
        <v>0</v>
      </c>
      <c r="N69" s="13">
        <v>0</v>
      </c>
      <c r="O69" s="14">
        <v>45870</v>
      </c>
      <c r="P69" s="11">
        <v>45900</v>
      </c>
      <c r="Q69" s="11">
        <v>45930</v>
      </c>
      <c r="R69" s="11">
        <v>45961</v>
      </c>
      <c r="S69" s="11">
        <v>45991</v>
      </c>
      <c r="T69" s="15">
        <v>46022</v>
      </c>
      <c r="U69" s="11">
        <v>46053</v>
      </c>
      <c r="V69" s="11">
        <v>46081</v>
      </c>
      <c r="W69" s="11">
        <v>46112</v>
      </c>
      <c r="X69" s="11"/>
      <c r="Y69" s="11"/>
      <c r="Z69" s="11"/>
      <c r="AA69" s="8"/>
      <c r="AB69" s="8"/>
      <c r="AC69" s="8"/>
      <c r="AD69" s="11"/>
      <c r="AE69" s="11"/>
      <c r="AF69" s="11"/>
      <c r="AG69" s="11"/>
      <c r="AH69" s="11"/>
      <c r="AI69" s="11">
        <f t="shared" si="7"/>
        <v>46112</v>
      </c>
    </row>
    <row r="70" spans="1:36" s="16" customFormat="1" ht="16.95" customHeight="1" x14ac:dyDescent="0.3">
      <c r="A70" s="6">
        <f t="shared" si="6"/>
        <v>74</v>
      </c>
      <c r="B70" s="7" t="s">
        <v>442</v>
      </c>
      <c r="C70" s="8" t="s">
        <v>443</v>
      </c>
      <c r="D70" s="19" t="s">
        <v>444</v>
      </c>
      <c r="E70" s="8" t="s">
        <v>445</v>
      </c>
      <c r="F70" s="8" t="s">
        <v>115</v>
      </c>
      <c r="G70" s="10" t="s">
        <v>446</v>
      </c>
      <c r="H70" s="11" t="s">
        <v>41</v>
      </c>
      <c r="I70" s="11" t="s">
        <v>42</v>
      </c>
      <c r="J70" s="11" t="s">
        <v>50</v>
      </c>
      <c r="K70" s="11" t="s">
        <v>43</v>
      </c>
      <c r="L70" s="12">
        <v>5000</v>
      </c>
      <c r="M70" s="13" t="s">
        <v>385</v>
      </c>
      <c r="N70" s="13" t="s">
        <v>385</v>
      </c>
      <c r="O70" s="14">
        <v>46048</v>
      </c>
      <c r="P70" s="11">
        <v>46142</v>
      </c>
      <c r="Q70" s="11"/>
      <c r="R70" s="11"/>
      <c r="S70" s="11"/>
      <c r="T70" s="15"/>
      <c r="U70" s="11"/>
      <c r="V70" s="11"/>
      <c r="W70" s="8"/>
      <c r="X70" s="8"/>
      <c r="Y70" s="8"/>
      <c r="Z70" s="11"/>
      <c r="AA70" s="8"/>
      <c r="AB70" s="8"/>
      <c r="AC70" s="8"/>
      <c r="AD70" s="11"/>
      <c r="AE70" s="11"/>
      <c r="AF70" s="11"/>
      <c r="AG70" s="11"/>
      <c r="AH70" s="11"/>
      <c r="AI70" s="11">
        <f t="shared" si="7"/>
        <v>46142</v>
      </c>
    </row>
    <row r="71" spans="1:36" s="16" customFormat="1" ht="16.95" customHeight="1" x14ac:dyDescent="0.3">
      <c r="A71" s="6">
        <f t="shared" si="6"/>
        <v>75</v>
      </c>
      <c r="B71" s="7" t="s">
        <v>447</v>
      </c>
      <c r="C71" s="8" t="s">
        <v>448</v>
      </c>
      <c r="D71" s="9" t="s">
        <v>449</v>
      </c>
      <c r="E71" s="8" t="s">
        <v>163</v>
      </c>
      <c r="F71" s="8" t="s">
        <v>310</v>
      </c>
      <c r="G71" s="10" t="s">
        <v>450</v>
      </c>
      <c r="H71" s="11" t="s">
        <v>451</v>
      </c>
      <c r="I71" s="11" t="s">
        <v>451</v>
      </c>
      <c r="J71" s="11" t="s">
        <v>50</v>
      </c>
      <c r="K71" s="11" t="s">
        <v>43</v>
      </c>
      <c r="L71" s="12">
        <v>4000</v>
      </c>
      <c r="M71" s="13"/>
      <c r="N71" s="13"/>
      <c r="O71" s="14">
        <v>45925</v>
      </c>
      <c r="P71" s="11">
        <v>46022</v>
      </c>
      <c r="Q71" s="11">
        <v>46112</v>
      </c>
      <c r="R71" s="11"/>
      <c r="S71" s="11"/>
      <c r="T71" s="17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1">
        <f t="shared" si="7"/>
        <v>46112</v>
      </c>
    </row>
    <row r="72" spans="1:36" s="16" customFormat="1" ht="16.95" customHeight="1" x14ac:dyDescent="0.3">
      <c r="A72" s="6">
        <f t="shared" si="6"/>
        <v>76</v>
      </c>
      <c r="B72" s="7" t="s">
        <v>452</v>
      </c>
      <c r="C72" s="8" t="s">
        <v>453</v>
      </c>
      <c r="D72" s="19" t="s">
        <v>454</v>
      </c>
      <c r="E72" s="8" t="s">
        <v>455</v>
      </c>
      <c r="F72" s="8" t="s">
        <v>115</v>
      </c>
      <c r="G72" s="10" t="s">
        <v>456</v>
      </c>
      <c r="H72" s="11" t="s">
        <v>292</v>
      </c>
      <c r="I72" s="11" t="s">
        <v>73</v>
      </c>
      <c r="J72" s="11" t="s">
        <v>73</v>
      </c>
      <c r="K72" s="11" t="s">
        <v>51</v>
      </c>
      <c r="L72" s="12">
        <v>6000</v>
      </c>
      <c r="M72" s="13">
        <v>800</v>
      </c>
      <c r="N72" s="13">
        <v>800</v>
      </c>
      <c r="O72" s="14">
        <v>46049</v>
      </c>
      <c r="P72" s="11">
        <v>46142</v>
      </c>
      <c r="Q72" s="11"/>
      <c r="R72" s="11"/>
      <c r="S72" s="11"/>
      <c r="T72" s="15"/>
      <c r="U72" s="11"/>
      <c r="V72" s="11"/>
      <c r="W72" s="8"/>
      <c r="X72" s="8"/>
      <c r="Y72" s="8"/>
      <c r="Z72" s="11"/>
      <c r="AA72" s="8"/>
      <c r="AB72" s="8"/>
      <c r="AC72" s="8"/>
      <c r="AD72" s="11"/>
      <c r="AE72" s="11"/>
      <c r="AF72" s="11"/>
      <c r="AG72" s="11"/>
      <c r="AH72" s="11"/>
      <c r="AI72" s="11">
        <f t="shared" si="7"/>
        <v>46142</v>
      </c>
    </row>
    <row r="73" spans="1:36" s="16" customFormat="1" ht="16.95" customHeight="1" x14ac:dyDescent="0.3">
      <c r="A73" s="6">
        <f t="shared" si="6"/>
        <v>77</v>
      </c>
      <c r="B73" s="7" t="s">
        <v>457</v>
      </c>
      <c r="C73" s="8" t="s">
        <v>458</v>
      </c>
      <c r="D73" s="9" t="s">
        <v>459</v>
      </c>
      <c r="E73" s="8" t="s">
        <v>460</v>
      </c>
      <c r="F73" s="8" t="s">
        <v>115</v>
      </c>
      <c r="G73" s="10" t="s">
        <v>461</v>
      </c>
      <c r="H73" s="11" t="s">
        <v>462</v>
      </c>
      <c r="I73" s="11" t="s">
        <v>73</v>
      </c>
      <c r="J73" s="11" t="s">
        <v>73</v>
      </c>
      <c r="K73" s="11" t="s">
        <v>51</v>
      </c>
      <c r="L73" s="12">
        <v>6500</v>
      </c>
      <c r="M73" s="13">
        <v>800</v>
      </c>
      <c r="N73" s="13">
        <v>800</v>
      </c>
      <c r="O73" s="14">
        <v>45689</v>
      </c>
      <c r="P73" s="11">
        <v>45777</v>
      </c>
      <c r="Q73" s="11">
        <v>45869</v>
      </c>
      <c r="R73" s="11">
        <v>45961</v>
      </c>
      <c r="S73" s="11">
        <v>46053</v>
      </c>
      <c r="T73" s="15">
        <v>46142</v>
      </c>
      <c r="U73" s="11"/>
      <c r="V73" s="11"/>
      <c r="W73" s="8"/>
      <c r="X73" s="8"/>
      <c r="Y73" s="8"/>
      <c r="Z73" s="11"/>
      <c r="AA73" s="8"/>
      <c r="AB73" s="8"/>
      <c r="AC73" s="8"/>
      <c r="AD73" s="11"/>
      <c r="AE73" s="11"/>
      <c r="AF73" s="11"/>
      <c r="AG73" s="11"/>
      <c r="AH73" s="11"/>
      <c r="AI73" s="11">
        <f t="shared" si="7"/>
        <v>46142</v>
      </c>
    </row>
    <row r="74" spans="1:36" s="16" customFormat="1" ht="16.95" customHeight="1" x14ac:dyDescent="0.3">
      <c r="A74" s="6">
        <f t="shared" si="6"/>
        <v>78</v>
      </c>
      <c r="B74" s="7" t="s">
        <v>463</v>
      </c>
      <c r="C74" s="8" t="s">
        <v>464</v>
      </c>
      <c r="D74" s="9" t="s">
        <v>465</v>
      </c>
      <c r="E74" s="8" t="s">
        <v>440</v>
      </c>
      <c r="F74" s="8" t="s">
        <v>85</v>
      </c>
      <c r="G74" s="10" t="s">
        <v>466</v>
      </c>
      <c r="H74" s="11" t="s">
        <v>371</v>
      </c>
      <c r="I74" s="11" t="s">
        <v>50</v>
      </c>
      <c r="J74" s="11" t="s">
        <v>50</v>
      </c>
      <c r="K74" s="11" t="s">
        <v>43</v>
      </c>
      <c r="L74" s="12">
        <v>2000</v>
      </c>
      <c r="M74" s="13">
        <v>0</v>
      </c>
      <c r="N74" s="13">
        <v>0</v>
      </c>
      <c r="O74" s="14">
        <v>45925</v>
      </c>
      <c r="P74" s="11">
        <v>45961</v>
      </c>
      <c r="Q74" s="11">
        <v>45991</v>
      </c>
      <c r="R74" s="11">
        <v>46022</v>
      </c>
      <c r="S74" s="11">
        <v>46053</v>
      </c>
      <c r="T74" s="15">
        <v>46081</v>
      </c>
      <c r="U74" s="11"/>
      <c r="V74" s="11"/>
      <c r="W74" s="8"/>
      <c r="X74" s="8"/>
      <c r="Y74" s="8"/>
      <c r="Z74" s="11"/>
      <c r="AA74" s="8"/>
      <c r="AB74" s="8"/>
      <c r="AC74" s="8"/>
      <c r="AD74" s="11"/>
      <c r="AE74" s="11"/>
      <c r="AF74" s="11"/>
      <c r="AG74" s="11"/>
      <c r="AH74" s="11"/>
      <c r="AI74" s="11">
        <f t="shared" si="7"/>
        <v>46081</v>
      </c>
      <c r="AJ74" s="16" t="s">
        <v>467</v>
      </c>
    </row>
    <row r="75" spans="1:36" s="16" customFormat="1" ht="16.95" customHeight="1" x14ac:dyDescent="0.3">
      <c r="A75" s="6">
        <f t="shared" si="6"/>
        <v>79</v>
      </c>
      <c r="B75" s="7" t="s">
        <v>468</v>
      </c>
      <c r="C75" s="8" t="s">
        <v>469</v>
      </c>
      <c r="D75" s="9" t="s">
        <v>470</v>
      </c>
      <c r="E75" s="8" t="s">
        <v>61</v>
      </c>
      <c r="F75" s="8" t="s">
        <v>62</v>
      </c>
      <c r="G75" s="10" t="s">
        <v>471</v>
      </c>
      <c r="H75" s="11" t="s">
        <v>64</v>
      </c>
      <c r="I75" s="11" t="s">
        <v>65</v>
      </c>
      <c r="J75" s="11" t="s">
        <v>65</v>
      </c>
      <c r="K75" s="11" t="s">
        <v>43</v>
      </c>
      <c r="L75" s="12">
        <v>4000</v>
      </c>
      <c r="M75" s="13">
        <v>500</v>
      </c>
      <c r="N75" s="13">
        <v>500</v>
      </c>
      <c r="O75" s="14">
        <v>45691</v>
      </c>
      <c r="P75" s="11">
        <v>45777</v>
      </c>
      <c r="Q75" s="11">
        <v>45869</v>
      </c>
      <c r="R75" s="11">
        <v>45961</v>
      </c>
      <c r="S75" s="11">
        <v>46053</v>
      </c>
      <c r="T75" s="15">
        <v>46142</v>
      </c>
      <c r="U75" s="11"/>
      <c r="V75" s="11"/>
      <c r="W75" s="8"/>
      <c r="X75" s="8"/>
      <c r="Y75" s="8"/>
      <c r="Z75" s="11"/>
      <c r="AA75" s="8"/>
      <c r="AB75" s="8"/>
      <c r="AC75" s="8"/>
      <c r="AD75" s="11"/>
      <c r="AE75" s="11"/>
      <c r="AF75" s="11"/>
      <c r="AG75" s="11"/>
      <c r="AH75" s="11"/>
      <c r="AI75" s="11">
        <f t="shared" si="7"/>
        <v>46142</v>
      </c>
    </row>
    <row r="76" spans="1:36" s="16" customFormat="1" ht="16.95" customHeight="1" x14ac:dyDescent="0.3">
      <c r="A76" s="6">
        <f t="shared" si="6"/>
        <v>80</v>
      </c>
      <c r="B76" s="7" t="s">
        <v>472</v>
      </c>
      <c r="C76" s="8" t="s">
        <v>473</v>
      </c>
      <c r="D76" s="9" t="s">
        <v>474</v>
      </c>
      <c r="E76" s="8" t="s">
        <v>475</v>
      </c>
      <c r="F76" s="8" t="s">
        <v>62</v>
      </c>
      <c r="G76" s="10" t="s">
        <v>476</v>
      </c>
      <c r="H76" s="11" t="s">
        <v>244</v>
      </c>
      <c r="I76" s="11" t="s">
        <v>244</v>
      </c>
      <c r="J76" s="11" t="s">
        <v>245</v>
      </c>
      <c r="K76" s="11" t="s">
        <v>51</v>
      </c>
      <c r="L76" s="12">
        <v>7500</v>
      </c>
      <c r="M76" s="13">
        <v>1000</v>
      </c>
      <c r="N76" s="13">
        <v>900</v>
      </c>
      <c r="O76" s="14">
        <v>44924</v>
      </c>
      <c r="P76" s="11">
        <v>45105</v>
      </c>
      <c r="Q76" s="11">
        <v>45199</v>
      </c>
      <c r="R76" s="11">
        <v>45291</v>
      </c>
      <c r="S76" s="11">
        <v>45473</v>
      </c>
      <c r="T76" s="17">
        <v>45382</v>
      </c>
      <c r="U76" s="18">
        <v>45565</v>
      </c>
      <c r="V76" s="18">
        <v>45657</v>
      </c>
      <c r="W76" s="18">
        <v>45747</v>
      </c>
      <c r="X76" s="18">
        <v>45838</v>
      </c>
      <c r="Y76" s="18">
        <v>45930</v>
      </c>
      <c r="Z76" s="18">
        <v>46022</v>
      </c>
      <c r="AA76" s="11">
        <v>46112</v>
      </c>
      <c r="AB76" s="18"/>
      <c r="AC76" s="18"/>
      <c r="AD76" s="18"/>
      <c r="AE76" s="18"/>
      <c r="AF76" s="18"/>
      <c r="AG76" s="18"/>
      <c r="AH76" s="18"/>
      <c r="AI76" s="11">
        <f t="shared" si="7"/>
        <v>46112</v>
      </c>
    </row>
    <row r="77" spans="1:36" s="16" customFormat="1" ht="16.95" customHeight="1" x14ac:dyDescent="0.3">
      <c r="A77" s="6">
        <f t="shared" si="6"/>
        <v>81</v>
      </c>
      <c r="B77" s="7" t="s">
        <v>477</v>
      </c>
      <c r="C77" s="8" t="s">
        <v>478</v>
      </c>
      <c r="D77" s="9" t="s">
        <v>479</v>
      </c>
      <c r="E77" s="8" t="s">
        <v>480</v>
      </c>
      <c r="F77" s="8" t="s">
        <v>139</v>
      </c>
      <c r="G77" s="10" t="s">
        <v>481</v>
      </c>
      <c r="H77" s="11" t="s">
        <v>117</v>
      </c>
      <c r="I77" s="11" t="s">
        <v>73</v>
      </c>
      <c r="J77" s="11" t="s">
        <v>73</v>
      </c>
      <c r="K77" s="11" t="s">
        <v>51</v>
      </c>
      <c r="L77" s="12">
        <v>20000</v>
      </c>
      <c r="M77" s="13">
        <v>440</v>
      </c>
      <c r="N77" s="13">
        <v>0</v>
      </c>
      <c r="O77" s="14">
        <v>45261</v>
      </c>
      <c r="P77" s="11">
        <v>45657</v>
      </c>
      <c r="Q77" s="11">
        <v>45747</v>
      </c>
      <c r="R77" s="11">
        <v>45930</v>
      </c>
      <c r="S77" s="11">
        <v>46081</v>
      </c>
      <c r="T77" s="15"/>
      <c r="U77" s="11"/>
      <c r="V77" s="11"/>
      <c r="W77" s="8"/>
      <c r="X77" s="8"/>
      <c r="Y77" s="8"/>
      <c r="Z77" s="11"/>
      <c r="AA77" s="8"/>
      <c r="AB77" s="8"/>
      <c r="AC77" s="8"/>
      <c r="AD77" s="11"/>
      <c r="AE77" s="11"/>
      <c r="AF77" s="11"/>
      <c r="AG77" s="11"/>
      <c r="AH77" s="11"/>
      <c r="AI77" s="11">
        <f t="shared" si="7"/>
        <v>46081</v>
      </c>
    </row>
    <row r="78" spans="1:36" s="16" customFormat="1" ht="16.95" customHeight="1" x14ac:dyDescent="0.3">
      <c r="A78" s="6">
        <f t="shared" si="6"/>
        <v>82</v>
      </c>
      <c r="B78" s="7" t="s">
        <v>482</v>
      </c>
      <c r="C78" s="8" t="s">
        <v>483</v>
      </c>
      <c r="D78" s="9" t="s">
        <v>484</v>
      </c>
      <c r="E78" s="8" t="s">
        <v>77</v>
      </c>
      <c r="F78" s="8" t="s">
        <v>78</v>
      </c>
      <c r="G78" s="10" t="s">
        <v>485</v>
      </c>
      <c r="H78" s="11" t="s">
        <v>50</v>
      </c>
      <c r="I78" s="11" t="s">
        <v>50</v>
      </c>
      <c r="J78" s="11" t="s">
        <v>50</v>
      </c>
      <c r="K78" s="11" t="s">
        <v>43</v>
      </c>
      <c r="L78" s="12">
        <v>3000</v>
      </c>
      <c r="M78" s="13">
        <v>0</v>
      </c>
      <c r="N78" s="13">
        <v>0</v>
      </c>
      <c r="O78" s="14">
        <v>45948</v>
      </c>
      <c r="P78" s="11">
        <v>46022</v>
      </c>
      <c r="Q78" s="11">
        <v>46053</v>
      </c>
      <c r="R78" s="11">
        <v>46081</v>
      </c>
      <c r="S78" s="11">
        <v>46089</v>
      </c>
      <c r="T78" s="15"/>
      <c r="U78" s="11"/>
      <c r="V78" s="11"/>
      <c r="W78" s="8"/>
      <c r="X78" s="8"/>
      <c r="Y78" s="8"/>
      <c r="Z78" s="11"/>
      <c r="AA78" s="8"/>
      <c r="AB78" s="8"/>
      <c r="AC78" s="8"/>
      <c r="AD78" s="11"/>
      <c r="AE78" s="11"/>
      <c r="AF78" s="11"/>
      <c r="AG78" s="11"/>
      <c r="AH78" s="11"/>
      <c r="AI78" s="11">
        <f t="shared" si="7"/>
        <v>46089</v>
      </c>
    </row>
    <row r="79" spans="1:36" s="16" customFormat="1" ht="16.95" customHeight="1" x14ac:dyDescent="0.3">
      <c r="A79" s="6">
        <f t="shared" si="6"/>
        <v>83</v>
      </c>
      <c r="B79" s="7" t="s">
        <v>486</v>
      </c>
      <c r="C79" s="8" t="s">
        <v>487</v>
      </c>
      <c r="D79" s="9" t="s">
        <v>488</v>
      </c>
      <c r="E79" s="8" t="s">
        <v>489</v>
      </c>
      <c r="F79" s="8" t="s">
        <v>204</v>
      </c>
      <c r="G79" s="10" t="s">
        <v>490</v>
      </c>
      <c r="H79" s="11" t="s">
        <v>125</v>
      </c>
      <c r="I79" s="11" t="s">
        <v>125</v>
      </c>
      <c r="J79" s="11" t="s">
        <v>126</v>
      </c>
      <c r="K79" s="11" t="s">
        <v>51</v>
      </c>
      <c r="L79" s="12">
        <v>5200</v>
      </c>
      <c r="M79" s="13">
        <v>800</v>
      </c>
      <c r="N79" s="13">
        <v>1100</v>
      </c>
      <c r="O79" s="14">
        <v>45215</v>
      </c>
      <c r="P79" s="11">
        <v>45322</v>
      </c>
      <c r="Q79" s="11">
        <v>45504</v>
      </c>
      <c r="R79" s="11">
        <v>45596</v>
      </c>
      <c r="S79" s="11">
        <v>45688</v>
      </c>
      <c r="T79" s="15">
        <v>45412</v>
      </c>
      <c r="U79" s="11">
        <v>45777</v>
      </c>
      <c r="V79" s="11">
        <v>45869</v>
      </c>
      <c r="W79" s="11">
        <v>45961</v>
      </c>
      <c r="X79" s="11">
        <v>46053</v>
      </c>
      <c r="Y79" s="11">
        <v>46142</v>
      </c>
      <c r="Z79" s="11"/>
      <c r="AA79" s="8"/>
      <c r="AB79" s="8"/>
      <c r="AC79" s="8"/>
      <c r="AD79" s="11"/>
      <c r="AE79" s="11"/>
      <c r="AF79" s="11"/>
      <c r="AG79" s="11"/>
      <c r="AH79" s="11"/>
      <c r="AI79" s="11">
        <f t="shared" si="7"/>
        <v>46142</v>
      </c>
    </row>
    <row r="80" spans="1:36" s="16" customFormat="1" ht="16.95" customHeight="1" x14ac:dyDescent="0.3">
      <c r="A80" s="6">
        <f t="shared" si="6"/>
        <v>84</v>
      </c>
      <c r="B80" s="7" t="s">
        <v>491</v>
      </c>
      <c r="C80" s="8" t="s">
        <v>492</v>
      </c>
      <c r="D80" s="9" t="s">
        <v>493</v>
      </c>
      <c r="E80" s="8" t="s">
        <v>61</v>
      </c>
      <c r="F80" s="8" t="s">
        <v>62</v>
      </c>
      <c r="G80" s="10" t="s">
        <v>494</v>
      </c>
      <c r="H80" s="11" t="s">
        <v>65</v>
      </c>
      <c r="I80" s="11" t="s">
        <v>65</v>
      </c>
      <c r="J80" s="11" t="s">
        <v>65</v>
      </c>
      <c r="K80" s="11" t="s">
        <v>43</v>
      </c>
      <c r="L80" s="12">
        <v>3700</v>
      </c>
      <c r="M80" s="13">
        <v>500</v>
      </c>
      <c r="N80" s="13">
        <v>500</v>
      </c>
      <c r="O80" s="14">
        <v>45904</v>
      </c>
      <c r="P80" s="11">
        <v>45991</v>
      </c>
      <c r="Q80" s="11">
        <v>46053</v>
      </c>
      <c r="R80" s="11">
        <v>46142</v>
      </c>
      <c r="S80" s="11"/>
      <c r="T80" s="15"/>
      <c r="U80" s="11"/>
      <c r="V80" s="11"/>
      <c r="W80" s="8"/>
      <c r="X80" s="8"/>
      <c r="Y80" s="8"/>
      <c r="Z80" s="11"/>
      <c r="AA80" s="8"/>
      <c r="AB80" s="8"/>
      <c r="AC80" s="8"/>
      <c r="AD80" s="11"/>
      <c r="AE80" s="11"/>
      <c r="AF80" s="11"/>
      <c r="AG80" s="11"/>
      <c r="AH80" s="11"/>
      <c r="AI80" s="11">
        <f t="shared" si="7"/>
        <v>46142</v>
      </c>
    </row>
    <row r="81" spans="1:35" s="16" customFormat="1" ht="16.95" customHeight="1" x14ac:dyDescent="0.3">
      <c r="A81" s="6">
        <f t="shared" si="6"/>
        <v>85</v>
      </c>
      <c r="B81" s="7" t="s">
        <v>495</v>
      </c>
      <c r="C81" s="8" t="s">
        <v>496</v>
      </c>
      <c r="D81" s="9" t="s">
        <v>497</v>
      </c>
      <c r="E81" s="8" t="s">
        <v>383</v>
      </c>
      <c r="F81" s="8" t="s">
        <v>179</v>
      </c>
      <c r="G81" s="10" t="s">
        <v>498</v>
      </c>
      <c r="H81" s="11" t="s">
        <v>41</v>
      </c>
      <c r="I81" s="11" t="s">
        <v>50</v>
      </c>
      <c r="J81" s="11" t="s">
        <v>50</v>
      </c>
      <c r="K81" s="11" t="s">
        <v>43</v>
      </c>
      <c r="L81" s="12">
        <v>2100</v>
      </c>
      <c r="M81" s="13">
        <v>375</v>
      </c>
      <c r="N81" s="13">
        <v>0</v>
      </c>
      <c r="O81" s="14">
        <v>45818</v>
      </c>
      <c r="P81" s="11">
        <v>45900</v>
      </c>
      <c r="Q81" s="11">
        <v>45991</v>
      </c>
      <c r="R81" s="11">
        <v>46081</v>
      </c>
      <c r="S81" s="11">
        <v>46112</v>
      </c>
      <c r="T81" s="15"/>
      <c r="U81" s="11"/>
      <c r="V81" s="11"/>
      <c r="W81" s="8"/>
      <c r="X81" s="8"/>
      <c r="Y81" s="8"/>
      <c r="Z81" s="11"/>
      <c r="AA81" s="8"/>
      <c r="AB81" s="8"/>
      <c r="AC81" s="8"/>
      <c r="AD81" s="11"/>
      <c r="AE81" s="11"/>
      <c r="AF81" s="11"/>
      <c r="AG81" s="11"/>
      <c r="AH81" s="11"/>
      <c r="AI81" s="11">
        <f t="shared" si="7"/>
        <v>46112</v>
      </c>
    </row>
    <row r="82" spans="1:35" s="16" customFormat="1" ht="16.95" customHeight="1" x14ac:dyDescent="0.3">
      <c r="A82" s="6">
        <f t="shared" si="6"/>
        <v>86</v>
      </c>
      <c r="B82" s="7" t="s">
        <v>499</v>
      </c>
      <c r="C82" s="8" t="s">
        <v>500</v>
      </c>
      <c r="D82" s="19" t="s">
        <v>501</v>
      </c>
      <c r="E82" s="8" t="s">
        <v>502</v>
      </c>
      <c r="F82" s="8" t="s">
        <v>211</v>
      </c>
      <c r="G82" s="10" t="s">
        <v>503</v>
      </c>
      <c r="H82" s="11" t="s">
        <v>92</v>
      </c>
      <c r="I82" s="11" t="s">
        <v>73</v>
      </c>
      <c r="J82" s="11" t="s">
        <v>73</v>
      </c>
      <c r="K82" s="11" t="s">
        <v>43</v>
      </c>
      <c r="L82" s="12">
        <v>4000</v>
      </c>
      <c r="M82" s="13">
        <v>800</v>
      </c>
      <c r="N82" s="13">
        <v>800</v>
      </c>
      <c r="O82" s="14">
        <v>46041</v>
      </c>
      <c r="P82" s="11">
        <v>46142</v>
      </c>
      <c r="Q82" s="11"/>
      <c r="R82" s="11"/>
      <c r="S82" s="11"/>
      <c r="T82" s="15"/>
      <c r="U82" s="11"/>
      <c r="V82" s="11"/>
      <c r="W82" s="8"/>
      <c r="X82" s="8"/>
      <c r="Y82" s="8"/>
      <c r="Z82" s="11"/>
      <c r="AA82" s="8"/>
      <c r="AB82" s="8"/>
      <c r="AC82" s="8"/>
      <c r="AD82" s="11"/>
      <c r="AE82" s="11"/>
      <c r="AF82" s="11"/>
      <c r="AG82" s="11"/>
      <c r="AH82" s="11"/>
      <c r="AI82" s="11">
        <f t="shared" si="7"/>
        <v>46142</v>
      </c>
    </row>
    <row r="83" spans="1:35" s="16" customFormat="1" ht="16.95" customHeight="1" x14ac:dyDescent="0.3">
      <c r="A83" s="6">
        <f>Liquidados!A291+1</f>
        <v>88</v>
      </c>
      <c r="B83" s="7" t="s">
        <v>504</v>
      </c>
      <c r="C83" s="8" t="s">
        <v>505</v>
      </c>
      <c r="D83" s="9" t="s">
        <v>506</v>
      </c>
      <c r="E83" s="8" t="s">
        <v>61</v>
      </c>
      <c r="F83" s="8" t="s">
        <v>507</v>
      </c>
      <c r="G83" s="10" t="s">
        <v>508</v>
      </c>
      <c r="H83" s="11" t="s">
        <v>431</v>
      </c>
      <c r="I83" s="11" t="s">
        <v>431</v>
      </c>
      <c r="J83" s="11" t="s">
        <v>50</v>
      </c>
      <c r="K83" s="11" t="s">
        <v>43</v>
      </c>
      <c r="L83" s="12">
        <v>4000</v>
      </c>
      <c r="M83" s="13">
        <v>500</v>
      </c>
      <c r="N83" s="13">
        <v>0</v>
      </c>
      <c r="O83" s="14">
        <v>45946</v>
      </c>
      <c r="P83" s="11">
        <v>46022</v>
      </c>
      <c r="Q83" s="11">
        <v>46081</v>
      </c>
      <c r="R83" s="11">
        <v>46112</v>
      </c>
      <c r="S83" s="11"/>
      <c r="T83" s="15"/>
      <c r="U83" s="11"/>
      <c r="V83" s="11"/>
      <c r="W83" s="8"/>
      <c r="X83" s="8"/>
      <c r="Y83" s="8"/>
      <c r="Z83" s="11"/>
      <c r="AA83" s="8"/>
      <c r="AB83" s="8"/>
      <c r="AC83" s="8"/>
      <c r="AD83" s="11"/>
      <c r="AE83" s="11"/>
      <c r="AF83" s="11"/>
      <c r="AG83" s="11"/>
      <c r="AH83" s="11"/>
      <c r="AI83" s="11">
        <f t="shared" si="7"/>
        <v>46112</v>
      </c>
    </row>
    <row r="84" spans="1:35" s="16" customFormat="1" ht="16.95" customHeight="1" x14ac:dyDescent="0.3">
      <c r="A84" s="6">
        <f t="shared" ref="A84:A92" si="8">A83+1</f>
        <v>89</v>
      </c>
      <c r="B84" s="7" t="s">
        <v>509</v>
      </c>
      <c r="C84" s="8" t="s">
        <v>510</v>
      </c>
      <c r="D84" s="9" t="s">
        <v>511</v>
      </c>
      <c r="E84" s="8" t="s">
        <v>512</v>
      </c>
      <c r="F84" s="8" t="s">
        <v>197</v>
      </c>
      <c r="G84" s="10" t="s">
        <v>513</v>
      </c>
      <c r="H84" s="11" t="s">
        <v>337</v>
      </c>
      <c r="I84" s="11" t="s">
        <v>73</v>
      </c>
      <c r="J84" s="11" t="s">
        <v>73</v>
      </c>
      <c r="K84" s="11" t="s">
        <v>43</v>
      </c>
      <c r="L84" s="12">
        <v>6000</v>
      </c>
      <c r="M84" s="13">
        <v>800</v>
      </c>
      <c r="N84" s="13">
        <v>800</v>
      </c>
      <c r="O84" s="14">
        <v>45691</v>
      </c>
      <c r="P84" s="11">
        <v>45777</v>
      </c>
      <c r="Q84" s="11">
        <v>45869</v>
      </c>
      <c r="R84" s="11">
        <v>45961</v>
      </c>
      <c r="S84" s="11">
        <v>46053</v>
      </c>
      <c r="T84" s="15">
        <v>46142</v>
      </c>
      <c r="U84" s="11"/>
      <c r="V84" s="11"/>
      <c r="W84" s="8"/>
      <c r="X84" s="8"/>
      <c r="Y84" s="8"/>
      <c r="Z84" s="11"/>
      <c r="AA84" s="8"/>
      <c r="AB84" s="8"/>
      <c r="AC84" s="8"/>
      <c r="AD84" s="11"/>
      <c r="AE84" s="11"/>
      <c r="AF84" s="11"/>
      <c r="AG84" s="11"/>
      <c r="AH84" s="11"/>
      <c r="AI84" s="11">
        <f t="shared" si="7"/>
        <v>46142</v>
      </c>
    </row>
    <row r="85" spans="1:35" s="16" customFormat="1" ht="16.95" customHeight="1" x14ac:dyDescent="0.3">
      <c r="A85" s="6">
        <f t="shared" si="8"/>
        <v>90</v>
      </c>
      <c r="B85" s="7" t="s">
        <v>514</v>
      </c>
      <c r="C85" s="8" t="s">
        <v>515</v>
      </c>
      <c r="D85" s="9" t="s">
        <v>516</v>
      </c>
      <c r="E85" s="8" t="s">
        <v>517</v>
      </c>
      <c r="F85" s="8" t="s">
        <v>131</v>
      </c>
      <c r="G85" s="10" t="s">
        <v>518</v>
      </c>
      <c r="H85" s="11" t="s">
        <v>519</v>
      </c>
      <c r="I85" s="11" t="s">
        <v>73</v>
      </c>
      <c r="J85" s="11" t="s">
        <v>73</v>
      </c>
      <c r="K85" s="11" t="s">
        <v>43</v>
      </c>
      <c r="L85" s="12">
        <v>5500</v>
      </c>
      <c r="M85" s="13">
        <v>500</v>
      </c>
      <c r="N85" s="13">
        <v>500</v>
      </c>
      <c r="O85" s="14">
        <v>45607</v>
      </c>
      <c r="P85" s="11">
        <v>45688</v>
      </c>
      <c r="Q85" s="11">
        <v>45777</v>
      </c>
      <c r="R85" s="11">
        <v>45869</v>
      </c>
      <c r="S85" s="11">
        <v>45930</v>
      </c>
      <c r="T85" s="15">
        <v>46022</v>
      </c>
      <c r="U85" s="11">
        <v>46081</v>
      </c>
      <c r="V85" s="11">
        <v>46112</v>
      </c>
      <c r="W85" s="8"/>
      <c r="X85" s="8"/>
      <c r="Y85" s="8"/>
      <c r="Z85" s="11"/>
      <c r="AA85" s="8"/>
      <c r="AB85" s="8"/>
      <c r="AC85" s="8"/>
      <c r="AD85" s="11"/>
      <c r="AE85" s="11"/>
      <c r="AF85" s="11"/>
      <c r="AG85" s="11"/>
      <c r="AH85" s="11"/>
      <c r="AI85" s="11">
        <f t="shared" si="7"/>
        <v>46112</v>
      </c>
    </row>
    <row r="86" spans="1:35" s="16" customFormat="1" ht="16.95" customHeight="1" x14ac:dyDescent="0.3">
      <c r="A86" s="6">
        <f t="shared" si="8"/>
        <v>91</v>
      </c>
      <c r="B86" s="7" t="s">
        <v>520</v>
      </c>
      <c r="C86" s="8" t="s">
        <v>521</v>
      </c>
      <c r="D86" s="9" t="s">
        <v>522</v>
      </c>
      <c r="E86" s="8" t="s">
        <v>61</v>
      </c>
      <c r="F86" s="8" t="s">
        <v>62</v>
      </c>
      <c r="G86" s="10" t="s">
        <v>523</v>
      </c>
      <c r="H86" s="11" t="s">
        <v>524</v>
      </c>
      <c r="I86" s="11" t="s">
        <v>65</v>
      </c>
      <c r="J86" s="11" t="s">
        <v>65</v>
      </c>
      <c r="K86" s="11" t="s">
        <v>43</v>
      </c>
      <c r="L86" s="12">
        <v>4000</v>
      </c>
      <c r="M86" s="13">
        <v>500</v>
      </c>
      <c r="N86" s="13">
        <v>500</v>
      </c>
      <c r="O86" s="14">
        <v>45684</v>
      </c>
      <c r="P86" s="11">
        <v>45777</v>
      </c>
      <c r="Q86" s="11">
        <v>45869</v>
      </c>
      <c r="R86" s="11">
        <v>45961</v>
      </c>
      <c r="S86" s="11">
        <v>46053</v>
      </c>
      <c r="T86" s="15">
        <v>46142</v>
      </c>
      <c r="U86" s="11"/>
      <c r="V86" s="11"/>
      <c r="W86" s="8"/>
      <c r="X86" s="8"/>
      <c r="Y86" s="8"/>
      <c r="Z86" s="11"/>
      <c r="AA86" s="8"/>
      <c r="AB86" s="8"/>
      <c r="AC86" s="8"/>
      <c r="AD86" s="11"/>
      <c r="AE86" s="11"/>
      <c r="AF86" s="11"/>
      <c r="AG86" s="11"/>
      <c r="AH86" s="11"/>
      <c r="AI86" s="11">
        <f t="shared" si="7"/>
        <v>46142</v>
      </c>
    </row>
    <row r="87" spans="1:35" s="16" customFormat="1" ht="16.95" customHeight="1" x14ac:dyDescent="0.3">
      <c r="A87" s="6">
        <f t="shared" si="8"/>
        <v>92</v>
      </c>
      <c r="B87" s="7" t="s">
        <v>525</v>
      </c>
      <c r="C87" s="8" t="s">
        <v>526</v>
      </c>
      <c r="D87" s="9" t="s">
        <v>527</v>
      </c>
      <c r="E87" s="8" t="s">
        <v>440</v>
      </c>
      <c r="F87" s="8" t="s">
        <v>85</v>
      </c>
      <c r="G87" s="10" t="s">
        <v>528</v>
      </c>
      <c r="H87" s="11" t="s">
        <v>186</v>
      </c>
      <c r="I87" s="11" t="s">
        <v>50</v>
      </c>
      <c r="J87" s="11" t="s">
        <v>50</v>
      </c>
      <c r="K87" s="11" t="s">
        <v>43</v>
      </c>
      <c r="L87" s="12">
        <v>2000</v>
      </c>
      <c r="M87" s="13">
        <v>0</v>
      </c>
      <c r="N87" s="13">
        <v>0</v>
      </c>
      <c r="O87" s="14">
        <v>45925</v>
      </c>
      <c r="P87" s="11">
        <v>45961</v>
      </c>
      <c r="Q87" s="11">
        <v>45991</v>
      </c>
      <c r="R87" s="11">
        <v>46022</v>
      </c>
      <c r="S87" s="11">
        <v>46081</v>
      </c>
      <c r="T87" s="15">
        <v>46112</v>
      </c>
      <c r="U87" s="11"/>
      <c r="V87" s="11"/>
      <c r="W87" s="8"/>
      <c r="X87" s="8"/>
      <c r="Y87" s="8"/>
      <c r="Z87" s="11"/>
      <c r="AA87" s="8"/>
      <c r="AB87" s="8"/>
      <c r="AC87" s="8"/>
      <c r="AD87" s="11"/>
      <c r="AE87" s="11"/>
      <c r="AF87" s="11"/>
      <c r="AG87" s="11"/>
      <c r="AH87" s="11"/>
      <c r="AI87" s="11">
        <f t="shared" si="7"/>
        <v>46112</v>
      </c>
    </row>
    <row r="88" spans="1:35" s="16" customFormat="1" ht="16.95" customHeight="1" x14ac:dyDescent="0.3">
      <c r="A88" s="6">
        <f t="shared" si="8"/>
        <v>93</v>
      </c>
      <c r="B88" s="7" t="s">
        <v>529</v>
      </c>
      <c r="C88" s="8" t="s">
        <v>530</v>
      </c>
      <c r="D88" s="9" t="s">
        <v>531</v>
      </c>
      <c r="E88" s="8" t="s">
        <v>84</v>
      </c>
      <c r="F88" s="8" t="s">
        <v>48</v>
      </c>
      <c r="G88" s="10" t="s">
        <v>532</v>
      </c>
      <c r="H88" s="11" t="s">
        <v>41</v>
      </c>
      <c r="I88" s="11" t="s">
        <v>50</v>
      </c>
      <c r="J88" s="11" t="s">
        <v>50</v>
      </c>
      <c r="K88" s="11" t="s">
        <v>43</v>
      </c>
      <c r="L88" s="12">
        <v>4000</v>
      </c>
      <c r="M88" s="13">
        <v>500</v>
      </c>
      <c r="N88" s="13">
        <v>0</v>
      </c>
      <c r="O88" s="14">
        <v>45908</v>
      </c>
      <c r="P88" s="11">
        <v>45991</v>
      </c>
      <c r="Q88" s="11">
        <v>46053</v>
      </c>
      <c r="R88" s="11">
        <v>46142</v>
      </c>
      <c r="S88" s="11"/>
      <c r="T88" s="15"/>
      <c r="U88" s="11"/>
      <c r="V88" s="11"/>
      <c r="W88" s="8"/>
      <c r="X88" s="8"/>
      <c r="Y88" s="8"/>
      <c r="Z88" s="11"/>
      <c r="AA88" s="8"/>
      <c r="AB88" s="8"/>
      <c r="AC88" s="8"/>
      <c r="AD88" s="11"/>
      <c r="AE88" s="11"/>
      <c r="AF88" s="11"/>
      <c r="AG88" s="11"/>
      <c r="AH88" s="11"/>
      <c r="AI88" s="11">
        <f t="shared" si="7"/>
        <v>46142</v>
      </c>
    </row>
    <row r="89" spans="1:35" s="16" customFormat="1" ht="16.95" customHeight="1" x14ac:dyDescent="0.3">
      <c r="A89" s="6">
        <f t="shared" si="8"/>
        <v>94</v>
      </c>
      <c r="B89" s="7" t="s">
        <v>533</v>
      </c>
      <c r="C89" s="8" t="s">
        <v>534</v>
      </c>
      <c r="D89" s="9" t="s">
        <v>535</v>
      </c>
      <c r="E89" s="8" t="s">
        <v>536</v>
      </c>
      <c r="F89" s="8" t="s">
        <v>537</v>
      </c>
      <c r="G89" s="10" t="s">
        <v>538</v>
      </c>
      <c r="H89" s="11" t="s">
        <v>92</v>
      </c>
      <c r="I89" s="11" t="s">
        <v>73</v>
      </c>
      <c r="J89" s="11" t="s">
        <v>73</v>
      </c>
      <c r="K89" s="11" t="s">
        <v>43</v>
      </c>
      <c r="L89" s="12">
        <v>4500</v>
      </c>
      <c r="M89" s="13">
        <v>500</v>
      </c>
      <c r="N89" s="13">
        <v>500</v>
      </c>
      <c r="O89" s="14">
        <v>45785</v>
      </c>
      <c r="P89" s="11">
        <v>45869</v>
      </c>
      <c r="Q89" s="11">
        <v>45900</v>
      </c>
      <c r="R89" s="11">
        <v>45961</v>
      </c>
      <c r="S89" s="11">
        <v>45991</v>
      </c>
      <c r="T89" s="15">
        <v>46022</v>
      </c>
      <c r="U89" s="11">
        <v>46081</v>
      </c>
      <c r="V89" s="11">
        <v>46112</v>
      </c>
      <c r="W89" s="8"/>
      <c r="X89" s="8"/>
      <c r="Y89" s="8"/>
      <c r="Z89" s="11"/>
      <c r="AA89" s="8"/>
      <c r="AB89" s="8"/>
      <c r="AC89" s="8"/>
      <c r="AD89" s="11"/>
      <c r="AE89" s="11"/>
      <c r="AF89" s="11"/>
      <c r="AG89" s="11"/>
      <c r="AH89" s="11"/>
      <c r="AI89" s="11">
        <f t="shared" si="7"/>
        <v>46112</v>
      </c>
    </row>
    <row r="90" spans="1:35" s="16" customFormat="1" ht="16.95" customHeight="1" x14ac:dyDescent="0.3">
      <c r="A90" s="6">
        <f t="shared" si="8"/>
        <v>95</v>
      </c>
      <c r="B90" s="7" t="s">
        <v>539</v>
      </c>
      <c r="C90" s="8" t="s">
        <v>540</v>
      </c>
      <c r="D90" s="9" t="s">
        <v>541</v>
      </c>
      <c r="E90" s="8" t="s">
        <v>542</v>
      </c>
      <c r="F90" s="8" t="s">
        <v>131</v>
      </c>
      <c r="G90" s="10" t="s">
        <v>543</v>
      </c>
      <c r="H90" s="11" t="s">
        <v>544</v>
      </c>
      <c r="I90" s="11" t="s">
        <v>73</v>
      </c>
      <c r="J90" s="11" t="s">
        <v>73</v>
      </c>
      <c r="K90" s="11" t="s">
        <v>6</v>
      </c>
      <c r="L90" s="12">
        <v>22000</v>
      </c>
      <c r="M90" s="13">
        <v>800</v>
      </c>
      <c r="N90" s="13">
        <v>1200</v>
      </c>
      <c r="O90" s="14">
        <v>45720</v>
      </c>
      <c r="P90" s="11">
        <v>45899</v>
      </c>
      <c r="Q90" s="11">
        <v>46081</v>
      </c>
      <c r="R90" s="11">
        <v>46173</v>
      </c>
      <c r="S90" s="11"/>
      <c r="T90" s="15"/>
      <c r="U90" s="11"/>
      <c r="V90" s="11"/>
      <c r="W90" s="8"/>
      <c r="X90" s="8"/>
      <c r="Y90" s="8"/>
      <c r="Z90" s="11"/>
      <c r="AA90" s="8"/>
      <c r="AB90" s="8"/>
      <c r="AC90" s="8"/>
      <c r="AD90" s="11"/>
      <c r="AE90" s="11"/>
      <c r="AF90" s="11"/>
      <c r="AG90" s="11"/>
      <c r="AH90" s="11"/>
      <c r="AI90" s="11">
        <f t="shared" si="7"/>
        <v>46173</v>
      </c>
    </row>
    <row r="91" spans="1:35" s="16" customFormat="1" ht="16.95" customHeight="1" x14ac:dyDescent="0.3">
      <c r="A91" s="6">
        <f t="shared" si="8"/>
        <v>96</v>
      </c>
      <c r="B91" s="7" t="s">
        <v>545</v>
      </c>
      <c r="C91" s="8" t="s">
        <v>546</v>
      </c>
      <c r="D91" s="19" t="s">
        <v>547</v>
      </c>
      <c r="E91" s="8" t="s">
        <v>548</v>
      </c>
      <c r="F91" s="8" t="s">
        <v>549</v>
      </c>
      <c r="G91" s="10" t="s">
        <v>550</v>
      </c>
      <c r="H91" s="11" t="s">
        <v>551</v>
      </c>
      <c r="I91" s="11" t="s">
        <v>305</v>
      </c>
      <c r="J91" s="11" t="s">
        <v>65</v>
      </c>
      <c r="K91" s="11" t="s">
        <v>51</v>
      </c>
      <c r="L91" s="12">
        <v>8000</v>
      </c>
      <c r="M91" s="13">
        <v>800</v>
      </c>
      <c r="N91" s="13">
        <v>800</v>
      </c>
      <c r="O91" s="14">
        <v>46041</v>
      </c>
      <c r="P91" s="11">
        <v>46142</v>
      </c>
      <c r="Q91" s="11"/>
      <c r="R91" s="11"/>
      <c r="S91" s="11"/>
      <c r="T91" s="15"/>
      <c r="U91" s="11"/>
      <c r="V91" s="11"/>
      <c r="W91" s="8"/>
      <c r="X91" s="8"/>
      <c r="Y91" s="8"/>
      <c r="Z91" s="11"/>
      <c r="AA91" s="8"/>
      <c r="AB91" s="8"/>
      <c r="AC91" s="8"/>
      <c r="AD91" s="11"/>
      <c r="AE91" s="11"/>
      <c r="AF91" s="11"/>
      <c r="AG91" s="11"/>
      <c r="AH91" s="11"/>
      <c r="AI91" s="11">
        <f t="shared" si="7"/>
        <v>46142</v>
      </c>
    </row>
    <row r="92" spans="1:35" s="16" customFormat="1" ht="16.95" customHeight="1" x14ac:dyDescent="0.3">
      <c r="A92" s="6">
        <f t="shared" si="8"/>
        <v>97</v>
      </c>
      <c r="B92" s="7" t="s">
        <v>552</v>
      </c>
      <c r="C92" s="8" t="s">
        <v>553</v>
      </c>
      <c r="D92" s="9" t="s">
        <v>554</v>
      </c>
      <c r="E92" s="8" t="s">
        <v>555</v>
      </c>
      <c r="F92" s="8" t="s">
        <v>556</v>
      </c>
      <c r="G92" s="10" t="s">
        <v>557</v>
      </c>
      <c r="H92" s="11" t="s">
        <v>558</v>
      </c>
      <c r="I92" s="11" t="s">
        <v>73</v>
      </c>
      <c r="J92" s="11" t="s">
        <v>73</v>
      </c>
      <c r="K92" s="11" t="s">
        <v>147</v>
      </c>
      <c r="L92" s="12">
        <v>6800</v>
      </c>
      <c r="M92" s="13"/>
      <c r="N92" s="13"/>
      <c r="O92" s="14" t="s">
        <v>559</v>
      </c>
      <c r="P92" s="11">
        <v>45646</v>
      </c>
      <c r="Q92" s="11">
        <v>46022</v>
      </c>
      <c r="R92" s="11">
        <v>46234</v>
      </c>
      <c r="S92" s="11"/>
      <c r="T92" s="15"/>
      <c r="U92" s="11"/>
      <c r="V92" s="11"/>
      <c r="W92" s="8"/>
      <c r="X92" s="8"/>
      <c r="Y92" s="8"/>
      <c r="Z92" s="11"/>
      <c r="AA92" s="8"/>
      <c r="AB92" s="8"/>
      <c r="AC92" s="8"/>
      <c r="AD92" s="11"/>
      <c r="AE92" s="11"/>
      <c r="AF92" s="11"/>
      <c r="AG92" s="11"/>
      <c r="AH92" s="11"/>
      <c r="AI92" s="11">
        <f t="shared" si="7"/>
        <v>46234</v>
      </c>
    </row>
    <row r="93" spans="1:35" s="16" customFormat="1" ht="16.95" customHeight="1" x14ac:dyDescent="0.3">
      <c r="A93" s="6">
        <f>Liquidados!A292+1</f>
        <v>99</v>
      </c>
      <c r="B93" s="7" t="s">
        <v>560</v>
      </c>
      <c r="C93" s="8" t="s">
        <v>561</v>
      </c>
      <c r="D93" s="9" t="s">
        <v>562</v>
      </c>
      <c r="E93" s="8" t="s">
        <v>563</v>
      </c>
      <c r="F93" s="8" t="s">
        <v>211</v>
      </c>
      <c r="G93" s="10" t="s">
        <v>564</v>
      </c>
      <c r="H93" s="11" t="s">
        <v>73</v>
      </c>
      <c r="I93" s="11" t="s">
        <v>73</v>
      </c>
      <c r="J93" s="11" t="s">
        <v>73</v>
      </c>
      <c r="K93" s="11" t="s">
        <v>51</v>
      </c>
      <c r="L93" s="12">
        <v>9500</v>
      </c>
      <c r="M93" s="13">
        <v>800</v>
      </c>
      <c r="N93" s="13">
        <v>800</v>
      </c>
      <c r="O93" s="14">
        <v>45931</v>
      </c>
      <c r="P93" s="11">
        <v>46022</v>
      </c>
      <c r="Q93" s="11">
        <v>46112</v>
      </c>
      <c r="R93" s="11"/>
      <c r="S93" s="11"/>
      <c r="T93" s="17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1">
        <f t="shared" si="7"/>
        <v>46112</v>
      </c>
    </row>
    <row r="94" spans="1:35" s="16" customFormat="1" ht="16.95" customHeight="1" x14ac:dyDescent="0.3">
      <c r="A94" s="6">
        <f t="shared" ref="A94:A109" si="9">A93+1</f>
        <v>100</v>
      </c>
      <c r="B94" s="7" t="s">
        <v>565</v>
      </c>
      <c r="C94" s="8" t="s">
        <v>566</v>
      </c>
      <c r="D94" s="9" t="s">
        <v>567</v>
      </c>
      <c r="E94" s="8" t="s">
        <v>568</v>
      </c>
      <c r="F94" s="8" t="s">
        <v>48</v>
      </c>
      <c r="G94" s="10" t="s">
        <v>569</v>
      </c>
      <c r="H94" s="11" t="s">
        <v>570</v>
      </c>
      <c r="I94" s="11" t="s">
        <v>73</v>
      </c>
      <c r="J94" s="11" t="s">
        <v>73</v>
      </c>
      <c r="K94" s="11" t="s">
        <v>147</v>
      </c>
      <c r="L94" s="12">
        <v>4000</v>
      </c>
      <c r="M94" s="13">
        <v>800</v>
      </c>
      <c r="N94" s="13">
        <v>800</v>
      </c>
      <c r="O94" s="14">
        <v>45999</v>
      </c>
      <c r="P94" s="11">
        <v>46081</v>
      </c>
      <c r="Q94" s="11">
        <v>46112</v>
      </c>
      <c r="R94" s="11"/>
      <c r="S94" s="11"/>
      <c r="T94" s="15"/>
      <c r="U94" s="11"/>
      <c r="V94" s="11"/>
      <c r="W94" s="8"/>
      <c r="X94" s="8"/>
      <c r="Y94" s="8"/>
      <c r="Z94" s="11"/>
      <c r="AA94" s="8"/>
      <c r="AB94" s="8"/>
      <c r="AC94" s="8"/>
      <c r="AD94" s="11"/>
      <c r="AE94" s="11"/>
      <c r="AF94" s="11"/>
      <c r="AG94" s="11"/>
      <c r="AH94" s="11"/>
      <c r="AI94" s="11">
        <f t="shared" si="7"/>
        <v>46112</v>
      </c>
    </row>
    <row r="95" spans="1:35" s="16" customFormat="1" ht="16.95" customHeight="1" x14ac:dyDescent="0.3">
      <c r="A95" s="6">
        <f t="shared" si="9"/>
        <v>101</v>
      </c>
      <c r="B95" s="7" t="s">
        <v>571</v>
      </c>
      <c r="C95" s="8" t="s">
        <v>572</v>
      </c>
      <c r="D95" s="9" t="s">
        <v>573</v>
      </c>
      <c r="E95" s="8" t="s">
        <v>574</v>
      </c>
      <c r="F95" s="8" t="s">
        <v>131</v>
      </c>
      <c r="G95" s="10" t="s">
        <v>575</v>
      </c>
      <c r="H95" s="11" t="s">
        <v>431</v>
      </c>
      <c r="I95" s="11" t="s">
        <v>431</v>
      </c>
      <c r="J95" s="11" t="s">
        <v>50</v>
      </c>
      <c r="K95" s="11" t="s">
        <v>43</v>
      </c>
      <c r="L95" s="12">
        <v>4500</v>
      </c>
      <c r="M95" s="13">
        <v>0</v>
      </c>
      <c r="N95" s="13">
        <v>0</v>
      </c>
      <c r="O95" s="14">
        <v>45629</v>
      </c>
      <c r="P95" s="11">
        <v>45716</v>
      </c>
      <c r="Q95" s="11">
        <v>45808</v>
      </c>
      <c r="R95" s="11">
        <v>45900</v>
      </c>
      <c r="S95" s="11">
        <v>45961</v>
      </c>
      <c r="T95" s="11">
        <v>46022</v>
      </c>
      <c r="U95" s="11">
        <v>46053</v>
      </c>
      <c r="V95" s="11">
        <v>46081</v>
      </c>
      <c r="W95" s="11">
        <v>46112</v>
      </c>
      <c r="X95" s="11"/>
      <c r="Y95" s="11"/>
      <c r="Z95" s="11"/>
      <c r="AA95" s="8"/>
      <c r="AB95" s="8"/>
      <c r="AC95" s="8"/>
      <c r="AD95" s="11"/>
      <c r="AE95" s="11"/>
      <c r="AF95" s="11"/>
      <c r="AG95" s="11"/>
      <c r="AH95" s="11"/>
      <c r="AI95" s="11">
        <f t="shared" si="7"/>
        <v>46112</v>
      </c>
    </row>
    <row r="96" spans="1:35" s="16" customFormat="1" ht="16.95" customHeight="1" x14ac:dyDescent="0.3">
      <c r="A96" s="6">
        <f t="shared" si="9"/>
        <v>102</v>
      </c>
      <c r="B96" s="7">
        <v>43567961</v>
      </c>
      <c r="C96" s="8" t="s">
        <v>576</v>
      </c>
      <c r="D96" s="19" t="s">
        <v>577</v>
      </c>
      <c r="E96" s="8" t="s">
        <v>55</v>
      </c>
      <c r="F96" s="8" t="s">
        <v>179</v>
      </c>
      <c r="G96" s="10" t="s">
        <v>578</v>
      </c>
      <c r="H96" s="11" t="s">
        <v>579</v>
      </c>
      <c r="I96" s="11" t="s">
        <v>300</v>
      </c>
      <c r="J96" s="11" t="s">
        <v>300</v>
      </c>
      <c r="K96" s="11" t="s">
        <v>147</v>
      </c>
      <c r="L96" s="12">
        <v>2700</v>
      </c>
      <c r="M96" s="13">
        <v>375</v>
      </c>
      <c r="N96" s="13"/>
      <c r="O96" s="14">
        <v>46030</v>
      </c>
      <c r="P96" s="11">
        <v>46112</v>
      </c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8"/>
      <c r="AB96" s="8"/>
      <c r="AC96" s="8"/>
      <c r="AD96" s="11"/>
      <c r="AE96" s="11"/>
      <c r="AF96" s="11"/>
      <c r="AG96" s="11"/>
      <c r="AH96" s="11"/>
      <c r="AI96" s="11">
        <f t="shared" si="7"/>
        <v>46112</v>
      </c>
    </row>
    <row r="97" spans="1:35" s="16" customFormat="1" ht="16.95" customHeight="1" x14ac:dyDescent="0.3">
      <c r="A97" s="6">
        <f t="shared" si="9"/>
        <v>103</v>
      </c>
      <c r="B97" s="7" t="s">
        <v>580</v>
      </c>
      <c r="C97" s="8" t="s">
        <v>581</v>
      </c>
      <c r="D97" s="9" t="s">
        <v>582</v>
      </c>
      <c r="E97" s="20" t="s">
        <v>163</v>
      </c>
      <c r="F97" s="8" t="s">
        <v>583</v>
      </c>
      <c r="G97" s="10" t="s">
        <v>584</v>
      </c>
      <c r="H97" s="11" t="s">
        <v>314</v>
      </c>
      <c r="I97" s="11" t="s">
        <v>314</v>
      </c>
      <c r="J97" s="11" t="s">
        <v>314</v>
      </c>
      <c r="K97" s="11" t="s">
        <v>43</v>
      </c>
      <c r="L97" s="12">
        <v>4000</v>
      </c>
      <c r="M97" s="13">
        <v>500</v>
      </c>
      <c r="N97" s="13">
        <v>500</v>
      </c>
      <c r="O97" s="14">
        <v>45954</v>
      </c>
      <c r="P97" s="11">
        <v>46022</v>
      </c>
      <c r="Q97" s="11">
        <v>46081</v>
      </c>
      <c r="R97" s="11">
        <v>46112</v>
      </c>
      <c r="S97" s="11"/>
      <c r="T97" s="11"/>
      <c r="U97" s="11"/>
      <c r="V97" s="11"/>
      <c r="W97" s="11"/>
      <c r="X97" s="11"/>
      <c r="Y97" s="11"/>
      <c r="Z97" s="11"/>
      <c r="AA97" s="8"/>
      <c r="AB97" s="8"/>
      <c r="AC97" s="8"/>
      <c r="AD97" s="11"/>
      <c r="AE97" s="11"/>
      <c r="AF97" s="11"/>
      <c r="AG97" s="11"/>
      <c r="AH97" s="11"/>
      <c r="AI97" s="11">
        <f t="shared" si="7"/>
        <v>46112</v>
      </c>
    </row>
    <row r="98" spans="1:35" s="16" customFormat="1" ht="16.95" customHeight="1" x14ac:dyDescent="0.3">
      <c r="A98" s="6">
        <f t="shared" si="9"/>
        <v>104</v>
      </c>
      <c r="B98" s="7" t="s">
        <v>585</v>
      </c>
      <c r="C98" s="8" t="s">
        <v>586</v>
      </c>
      <c r="D98" s="9" t="s">
        <v>587</v>
      </c>
      <c r="E98" s="8" t="s">
        <v>196</v>
      </c>
      <c r="F98" s="8" t="s">
        <v>197</v>
      </c>
      <c r="G98" s="10" t="s">
        <v>588</v>
      </c>
      <c r="H98" s="11" t="s">
        <v>589</v>
      </c>
      <c r="I98" s="11" t="s">
        <v>590</v>
      </c>
      <c r="J98" s="11" t="s">
        <v>50</v>
      </c>
      <c r="K98" s="11" t="s">
        <v>51</v>
      </c>
      <c r="L98" s="12">
        <v>4500</v>
      </c>
      <c r="M98" s="13">
        <v>375</v>
      </c>
      <c r="N98" s="13">
        <v>0</v>
      </c>
      <c r="O98" s="14">
        <v>45241</v>
      </c>
      <c r="P98" s="11">
        <v>45322</v>
      </c>
      <c r="Q98" s="11">
        <v>45504</v>
      </c>
      <c r="R98" s="11">
        <v>45596</v>
      </c>
      <c r="S98" s="11">
        <v>45688</v>
      </c>
      <c r="T98" s="11">
        <v>45412</v>
      </c>
      <c r="U98" s="11">
        <v>45777</v>
      </c>
      <c r="V98" s="11">
        <v>45869</v>
      </c>
      <c r="W98" s="11">
        <v>45961</v>
      </c>
      <c r="X98" s="11">
        <v>46053</v>
      </c>
      <c r="Y98" s="11">
        <v>46142</v>
      </c>
      <c r="Z98" s="11"/>
      <c r="AA98" s="8"/>
      <c r="AB98" s="8"/>
      <c r="AC98" s="8"/>
      <c r="AD98" s="11"/>
      <c r="AE98" s="11"/>
      <c r="AF98" s="11"/>
      <c r="AG98" s="11"/>
      <c r="AH98" s="11"/>
      <c r="AI98" s="11">
        <f t="shared" si="7"/>
        <v>46142</v>
      </c>
    </row>
    <row r="99" spans="1:35" s="16" customFormat="1" ht="16.95" customHeight="1" x14ac:dyDescent="0.3">
      <c r="A99" s="6">
        <f t="shared" si="9"/>
        <v>105</v>
      </c>
      <c r="B99" s="7" t="s">
        <v>591</v>
      </c>
      <c r="C99" s="8" t="s">
        <v>592</v>
      </c>
      <c r="D99" s="9" t="s">
        <v>593</v>
      </c>
      <c r="E99" s="8" t="s">
        <v>594</v>
      </c>
      <c r="F99" s="8" t="s">
        <v>236</v>
      </c>
      <c r="G99" s="10" t="s">
        <v>595</v>
      </c>
      <c r="H99" s="11" t="s">
        <v>186</v>
      </c>
      <c r="I99" s="11" t="s">
        <v>50</v>
      </c>
      <c r="J99" s="11" t="s">
        <v>50</v>
      </c>
      <c r="K99" s="11" t="s">
        <v>43</v>
      </c>
      <c r="L99" s="12">
        <v>3500</v>
      </c>
      <c r="M99" s="13">
        <v>500</v>
      </c>
      <c r="N99" s="13">
        <v>0</v>
      </c>
      <c r="O99" s="14">
        <v>45261</v>
      </c>
      <c r="P99" s="11">
        <v>45351</v>
      </c>
      <c r="Q99" s="11">
        <v>45443</v>
      </c>
      <c r="R99" s="11">
        <v>45535</v>
      </c>
      <c r="S99" s="11">
        <v>45626</v>
      </c>
      <c r="T99" s="11">
        <v>45716</v>
      </c>
      <c r="U99" s="11">
        <v>45808</v>
      </c>
      <c r="V99" s="11">
        <v>45900</v>
      </c>
      <c r="W99" s="11">
        <v>45991</v>
      </c>
      <c r="X99" s="11">
        <v>46081</v>
      </c>
      <c r="Y99" s="11">
        <v>46112</v>
      </c>
      <c r="Z99" s="11"/>
      <c r="AA99" s="8"/>
      <c r="AB99" s="8"/>
      <c r="AC99" s="8"/>
      <c r="AD99" s="11"/>
      <c r="AE99" s="11"/>
      <c r="AF99" s="11"/>
      <c r="AG99" s="11"/>
      <c r="AH99" s="11"/>
      <c r="AI99" s="11">
        <f t="shared" ref="AI99:AI130" si="10">+MAX(O99:AH99)</f>
        <v>46112</v>
      </c>
    </row>
    <row r="100" spans="1:35" s="16" customFormat="1" ht="16.95" customHeight="1" x14ac:dyDescent="0.3">
      <c r="A100" s="6">
        <f t="shared" si="9"/>
        <v>106</v>
      </c>
      <c r="B100" s="7" t="s">
        <v>596</v>
      </c>
      <c r="C100" s="8" t="s">
        <v>597</v>
      </c>
      <c r="D100" s="9" t="s">
        <v>598</v>
      </c>
      <c r="E100" s="8" t="s">
        <v>599</v>
      </c>
      <c r="F100" s="8" t="s">
        <v>310</v>
      </c>
      <c r="G100" s="10" t="s">
        <v>600</v>
      </c>
      <c r="H100" s="11" t="s">
        <v>243</v>
      </c>
      <c r="I100" s="11" t="s">
        <v>244</v>
      </c>
      <c r="J100" s="11" t="s">
        <v>245</v>
      </c>
      <c r="K100" s="11" t="s">
        <v>51</v>
      </c>
      <c r="L100" s="12">
        <v>5000</v>
      </c>
      <c r="M100" s="13">
        <v>800</v>
      </c>
      <c r="N100" s="13">
        <v>800</v>
      </c>
      <c r="O100" s="14">
        <v>45658</v>
      </c>
      <c r="P100" s="11">
        <v>45747</v>
      </c>
      <c r="Q100" s="11">
        <v>45838</v>
      </c>
      <c r="R100" s="11">
        <v>45930</v>
      </c>
      <c r="S100" s="11">
        <v>46022</v>
      </c>
      <c r="T100" s="11">
        <v>46112</v>
      </c>
      <c r="U100" s="11"/>
      <c r="V100" s="11"/>
      <c r="W100" s="11"/>
      <c r="X100" s="11"/>
      <c r="Y100" s="11"/>
      <c r="Z100" s="11"/>
      <c r="AA100" s="18"/>
      <c r="AB100" s="18"/>
      <c r="AC100" s="18"/>
      <c r="AD100" s="18"/>
      <c r="AE100" s="18"/>
      <c r="AF100" s="18"/>
      <c r="AG100" s="18"/>
      <c r="AH100" s="18"/>
      <c r="AI100" s="11">
        <f t="shared" si="10"/>
        <v>46112</v>
      </c>
    </row>
    <row r="101" spans="1:35" s="16" customFormat="1" ht="16.95" customHeight="1" x14ac:dyDescent="0.3">
      <c r="A101" s="6">
        <f t="shared" si="9"/>
        <v>107</v>
      </c>
      <c r="B101" s="7" t="s">
        <v>601</v>
      </c>
      <c r="C101" s="8" t="s">
        <v>602</v>
      </c>
      <c r="D101" s="9" t="s">
        <v>603</v>
      </c>
      <c r="E101" s="8" t="s">
        <v>196</v>
      </c>
      <c r="F101" s="8" t="s">
        <v>604</v>
      </c>
      <c r="G101" s="10" t="s">
        <v>605</v>
      </c>
      <c r="H101" s="11" t="s">
        <v>126</v>
      </c>
      <c r="I101" s="11" t="s">
        <v>126</v>
      </c>
      <c r="J101" s="11" t="s">
        <v>126</v>
      </c>
      <c r="K101" s="11" t="s">
        <v>43</v>
      </c>
      <c r="L101" s="12">
        <v>5000</v>
      </c>
      <c r="M101" s="13">
        <v>800</v>
      </c>
      <c r="N101" s="13">
        <v>800</v>
      </c>
      <c r="O101" s="14">
        <v>45909</v>
      </c>
      <c r="P101" s="11">
        <v>45991</v>
      </c>
      <c r="Q101" s="11">
        <v>46022</v>
      </c>
      <c r="R101" s="11">
        <v>46081</v>
      </c>
      <c r="S101" s="11">
        <v>46112</v>
      </c>
      <c r="T101" s="11"/>
      <c r="U101" s="11"/>
      <c r="V101" s="11"/>
      <c r="W101" s="11"/>
      <c r="X101" s="11"/>
      <c r="Y101" s="11"/>
      <c r="Z101" s="11"/>
      <c r="AA101" s="8"/>
      <c r="AB101" s="8"/>
      <c r="AC101" s="8"/>
      <c r="AD101" s="11"/>
      <c r="AE101" s="11"/>
      <c r="AF101" s="11"/>
      <c r="AG101" s="11"/>
      <c r="AH101" s="11"/>
      <c r="AI101" s="11">
        <f t="shared" si="10"/>
        <v>46112</v>
      </c>
    </row>
    <row r="102" spans="1:35" s="16" customFormat="1" ht="16.95" customHeight="1" x14ac:dyDescent="0.3">
      <c r="A102" s="6">
        <f t="shared" si="9"/>
        <v>108</v>
      </c>
      <c r="B102" s="7" t="s">
        <v>606</v>
      </c>
      <c r="C102" s="8" t="s">
        <v>607</v>
      </c>
      <c r="D102" s="9" t="s">
        <v>608</v>
      </c>
      <c r="E102" s="8" t="s">
        <v>609</v>
      </c>
      <c r="F102" s="8" t="s">
        <v>290</v>
      </c>
      <c r="G102" s="10" t="s">
        <v>610</v>
      </c>
      <c r="H102" s="11" t="s">
        <v>611</v>
      </c>
      <c r="I102" s="11" t="s">
        <v>300</v>
      </c>
      <c r="J102" s="11" t="s">
        <v>300</v>
      </c>
      <c r="K102" s="11" t="s">
        <v>51</v>
      </c>
      <c r="L102" s="12">
        <v>8800</v>
      </c>
      <c r="M102" s="13">
        <v>800</v>
      </c>
      <c r="N102" s="13">
        <v>800</v>
      </c>
      <c r="O102" s="14">
        <v>45489</v>
      </c>
      <c r="P102" s="11">
        <v>45596</v>
      </c>
      <c r="Q102" s="11">
        <v>45688</v>
      </c>
      <c r="R102" s="11">
        <v>45777</v>
      </c>
      <c r="S102" s="11">
        <v>45869</v>
      </c>
      <c r="T102" s="11">
        <v>45961</v>
      </c>
      <c r="U102" s="11">
        <v>46053</v>
      </c>
      <c r="V102" s="11">
        <v>46142</v>
      </c>
      <c r="W102" s="11"/>
      <c r="X102" s="11"/>
      <c r="Y102" s="11"/>
      <c r="Z102" s="11"/>
      <c r="AA102" s="8"/>
      <c r="AB102" s="8"/>
      <c r="AC102" s="8"/>
      <c r="AD102" s="11"/>
      <c r="AE102" s="11"/>
      <c r="AF102" s="11"/>
      <c r="AG102" s="11"/>
      <c r="AH102" s="11"/>
      <c r="AI102" s="11">
        <f t="shared" si="10"/>
        <v>46142</v>
      </c>
    </row>
    <row r="103" spans="1:35" s="16" customFormat="1" ht="16.95" customHeight="1" x14ac:dyDescent="0.3">
      <c r="A103" s="6">
        <f t="shared" si="9"/>
        <v>109</v>
      </c>
      <c r="B103" s="7" t="s">
        <v>612</v>
      </c>
      <c r="C103" s="8" t="s">
        <v>613</v>
      </c>
      <c r="D103" s="9" t="s">
        <v>614</v>
      </c>
      <c r="E103" s="8" t="s">
        <v>77</v>
      </c>
      <c r="F103" s="8" t="s">
        <v>78</v>
      </c>
      <c r="G103" s="10" t="s">
        <v>615</v>
      </c>
      <c r="H103" s="11" t="s">
        <v>616</v>
      </c>
      <c r="I103" s="11" t="s">
        <v>617</v>
      </c>
      <c r="J103" s="11" t="s">
        <v>618</v>
      </c>
      <c r="K103" s="11" t="s">
        <v>43</v>
      </c>
      <c r="L103" s="12">
        <v>3200</v>
      </c>
      <c r="M103" s="13">
        <v>800</v>
      </c>
      <c r="N103" s="13">
        <v>800</v>
      </c>
      <c r="O103" s="14">
        <v>45947</v>
      </c>
      <c r="P103" s="11">
        <v>46022</v>
      </c>
      <c r="Q103" s="11">
        <v>46053</v>
      </c>
      <c r="R103" s="11">
        <v>46081</v>
      </c>
      <c r="S103" s="11">
        <v>46112</v>
      </c>
      <c r="T103" s="11"/>
      <c r="U103" s="11"/>
      <c r="V103" s="11"/>
      <c r="W103" s="11"/>
      <c r="X103" s="11"/>
      <c r="Y103" s="11"/>
      <c r="Z103" s="11"/>
      <c r="AA103" s="8"/>
      <c r="AB103" s="8"/>
      <c r="AC103" s="8"/>
      <c r="AD103" s="11"/>
      <c r="AE103" s="11"/>
      <c r="AF103" s="11"/>
      <c r="AG103" s="11"/>
      <c r="AH103" s="11"/>
      <c r="AI103" s="11">
        <v>46089</v>
      </c>
    </row>
    <row r="104" spans="1:35" s="16" customFormat="1" ht="16.95" customHeight="1" x14ac:dyDescent="0.3">
      <c r="A104" s="6">
        <f t="shared" si="9"/>
        <v>110</v>
      </c>
      <c r="B104" s="7" t="s">
        <v>619</v>
      </c>
      <c r="C104" s="8" t="s">
        <v>620</v>
      </c>
      <c r="D104" s="9" t="s">
        <v>621</v>
      </c>
      <c r="E104" s="8" t="s">
        <v>341</v>
      </c>
      <c r="F104" s="8" t="s">
        <v>62</v>
      </c>
      <c r="G104" s="10" t="s">
        <v>622</v>
      </c>
      <c r="H104" s="11" t="s">
        <v>623</v>
      </c>
      <c r="I104" s="11" t="s">
        <v>73</v>
      </c>
      <c r="J104" s="11" t="s">
        <v>73</v>
      </c>
      <c r="K104" s="11" t="s">
        <v>43</v>
      </c>
      <c r="L104" s="12">
        <v>5040</v>
      </c>
      <c r="M104" s="13">
        <v>1000</v>
      </c>
      <c r="N104" s="13">
        <v>900</v>
      </c>
      <c r="O104" s="14">
        <v>44914</v>
      </c>
      <c r="P104" s="11">
        <v>45096</v>
      </c>
      <c r="Q104" s="11">
        <v>45199</v>
      </c>
      <c r="R104" s="11">
        <v>45291</v>
      </c>
      <c r="S104" s="11">
        <v>45473</v>
      </c>
      <c r="T104" s="11">
        <v>45382</v>
      </c>
      <c r="U104" s="11">
        <v>45565</v>
      </c>
      <c r="V104" s="11">
        <v>45657</v>
      </c>
      <c r="W104" s="11">
        <v>45747</v>
      </c>
      <c r="X104" s="11">
        <v>45838</v>
      </c>
      <c r="Y104" s="11">
        <v>45930</v>
      </c>
      <c r="Z104" s="11">
        <v>46022</v>
      </c>
      <c r="AA104" s="11">
        <v>46112</v>
      </c>
      <c r="AB104" s="18"/>
      <c r="AC104" s="18"/>
      <c r="AD104" s="18"/>
      <c r="AE104" s="18"/>
      <c r="AF104" s="18"/>
      <c r="AG104" s="18"/>
      <c r="AH104" s="18"/>
      <c r="AI104" s="11">
        <f t="shared" si="10"/>
        <v>46112</v>
      </c>
    </row>
    <row r="105" spans="1:35" s="16" customFormat="1" ht="16.95" customHeight="1" x14ac:dyDescent="0.3">
      <c r="A105" s="6">
        <f t="shared" si="9"/>
        <v>111</v>
      </c>
      <c r="B105" s="7" t="s">
        <v>624</v>
      </c>
      <c r="C105" s="8" t="s">
        <v>625</v>
      </c>
      <c r="D105" s="9" t="s">
        <v>626</v>
      </c>
      <c r="E105" s="8" t="s">
        <v>627</v>
      </c>
      <c r="F105" s="8" t="s">
        <v>48</v>
      </c>
      <c r="G105" s="10" t="s">
        <v>628</v>
      </c>
      <c r="H105" s="11" t="s">
        <v>629</v>
      </c>
      <c r="I105" s="11" t="s">
        <v>73</v>
      </c>
      <c r="J105" s="11" t="s">
        <v>73</v>
      </c>
      <c r="K105" s="11" t="s">
        <v>51</v>
      </c>
      <c r="L105" s="12">
        <v>5610</v>
      </c>
      <c r="M105" s="13">
        <v>1000</v>
      </c>
      <c r="N105" s="13">
        <v>900</v>
      </c>
      <c r="O105" s="14">
        <v>45566</v>
      </c>
      <c r="P105" s="11">
        <v>45657</v>
      </c>
      <c r="Q105" s="11">
        <v>45747</v>
      </c>
      <c r="R105" s="11">
        <v>45838</v>
      </c>
      <c r="S105" s="11">
        <v>45930</v>
      </c>
      <c r="T105" s="11">
        <v>46022</v>
      </c>
      <c r="U105" s="11">
        <v>46081</v>
      </c>
      <c r="V105" s="11">
        <v>46112</v>
      </c>
      <c r="W105" s="11"/>
      <c r="X105" s="11"/>
      <c r="Y105" s="11"/>
      <c r="Z105" s="11"/>
      <c r="AA105" s="8"/>
      <c r="AB105" s="8"/>
      <c r="AC105" s="8"/>
      <c r="AD105" s="11"/>
      <c r="AE105" s="11"/>
      <c r="AF105" s="11"/>
      <c r="AG105" s="11"/>
      <c r="AH105" s="11"/>
      <c r="AI105" s="11">
        <f t="shared" si="10"/>
        <v>46112</v>
      </c>
    </row>
    <row r="106" spans="1:35" s="16" customFormat="1" ht="16.95" customHeight="1" x14ac:dyDescent="0.3">
      <c r="A106" s="6">
        <f t="shared" si="9"/>
        <v>112</v>
      </c>
      <c r="B106" s="7" t="s">
        <v>630</v>
      </c>
      <c r="C106" s="8" t="s">
        <v>631</v>
      </c>
      <c r="D106" s="9" t="s">
        <v>632</v>
      </c>
      <c r="E106" s="8" t="s">
        <v>633</v>
      </c>
      <c r="F106" s="8" t="s">
        <v>115</v>
      </c>
      <c r="G106" s="10" t="s">
        <v>634</v>
      </c>
      <c r="H106" s="11" t="s">
        <v>635</v>
      </c>
      <c r="I106" s="11" t="s">
        <v>635</v>
      </c>
      <c r="J106" s="11" t="s">
        <v>159</v>
      </c>
      <c r="K106" s="11" t="s">
        <v>51</v>
      </c>
      <c r="L106" s="12">
        <v>19000</v>
      </c>
      <c r="M106" s="13">
        <v>800</v>
      </c>
      <c r="N106" s="13">
        <v>800</v>
      </c>
      <c r="O106" s="14">
        <v>45434</v>
      </c>
      <c r="P106" s="11">
        <v>45626</v>
      </c>
      <c r="Q106" s="11">
        <v>45716</v>
      </c>
      <c r="R106" s="11">
        <v>45900</v>
      </c>
      <c r="S106" s="11">
        <v>46081</v>
      </c>
      <c r="T106" s="11"/>
      <c r="U106" s="11"/>
      <c r="V106" s="11"/>
      <c r="W106" s="11"/>
      <c r="X106" s="11"/>
      <c r="Y106" s="11"/>
      <c r="Z106" s="11"/>
      <c r="AA106" s="8"/>
      <c r="AB106" s="8"/>
      <c r="AC106" s="8"/>
      <c r="AD106" s="11"/>
      <c r="AE106" s="11"/>
      <c r="AF106" s="11"/>
      <c r="AG106" s="11"/>
      <c r="AH106" s="11"/>
      <c r="AI106" s="11">
        <f t="shared" si="10"/>
        <v>46081</v>
      </c>
    </row>
    <row r="107" spans="1:35" s="16" customFormat="1" ht="16.95" customHeight="1" x14ac:dyDescent="0.3">
      <c r="A107" s="6">
        <f t="shared" si="9"/>
        <v>113</v>
      </c>
      <c r="B107" s="7" t="s">
        <v>636</v>
      </c>
      <c r="C107" s="8" t="s">
        <v>637</v>
      </c>
      <c r="D107" s="9" t="s">
        <v>638</v>
      </c>
      <c r="E107" s="8" t="s">
        <v>145</v>
      </c>
      <c r="F107" s="8" t="s">
        <v>131</v>
      </c>
      <c r="G107" s="10" t="s">
        <v>639</v>
      </c>
      <c r="H107" s="11" t="s">
        <v>640</v>
      </c>
      <c r="I107" s="11" t="s">
        <v>640</v>
      </c>
      <c r="J107" s="11" t="s">
        <v>50</v>
      </c>
      <c r="K107" s="11" t="s">
        <v>43</v>
      </c>
      <c r="L107" s="12">
        <v>4000</v>
      </c>
      <c r="M107" s="13">
        <v>0</v>
      </c>
      <c r="N107" s="13">
        <v>0</v>
      </c>
      <c r="O107" s="14">
        <v>45769</v>
      </c>
      <c r="P107" s="11">
        <v>45869</v>
      </c>
      <c r="Q107" s="11">
        <v>45930</v>
      </c>
      <c r="R107" s="11">
        <v>46022</v>
      </c>
      <c r="S107" s="11">
        <v>46112</v>
      </c>
      <c r="T107" s="11"/>
      <c r="U107" s="11"/>
      <c r="V107" s="11"/>
      <c r="W107" s="11"/>
      <c r="X107" s="11"/>
      <c r="Y107" s="11"/>
      <c r="Z107" s="11"/>
      <c r="AA107" s="18"/>
      <c r="AB107" s="18"/>
      <c r="AC107" s="18"/>
      <c r="AD107" s="18"/>
      <c r="AE107" s="18"/>
      <c r="AF107" s="18"/>
      <c r="AG107" s="18"/>
      <c r="AH107" s="18"/>
      <c r="AI107" s="11">
        <f t="shared" si="10"/>
        <v>46112</v>
      </c>
    </row>
    <row r="108" spans="1:35" s="16" customFormat="1" ht="16.95" customHeight="1" x14ac:dyDescent="0.3">
      <c r="A108" s="6">
        <f t="shared" si="9"/>
        <v>114</v>
      </c>
      <c r="B108" s="7" t="s">
        <v>641</v>
      </c>
      <c r="C108" s="8" t="s">
        <v>642</v>
      </c>
      <c r="D108" s="9" t="s">
        <v>643</v>
      </c>
      <c r="E108" s="8" t="s">
        <v>644</v>
      </c>
      <c r="F108" s="8" t="s">
        <v>645</v>
      </c>
      <c r="G108" s="10" t="s">
        <v>646</v>
      </c>
      <c r="H108" s="11" t="s">
        <v>623</v>
      </c>
      <c r="I108" s="11" t="s">
        <v>73</v>
      </c>
      <c r="J108" s="11" t="s">
        <v>73</v>
      </c>
      <c r="K108" s="11" t="s">
        <v>51</v>
      </c>
      <c r="L108" s="12">
        <v>8500</v>
      </c>
      <c r="M108" s="13">
        <v>800</v>
      </c>
      <c r="N108" s="13">
        <v>800</v>
      </c>
      <c r="O108" s="14">
        <v>45742</v>
      </c>
      <c r="P108" s="11">
        <v>45838</v>
      </c>
      <c r="Q108" s="11">
        <v>45930</v>
      </c>
      <c r="R108" s="11">
        <v>46022</v>
      </c>
      <c r="S108" s="11">
        <v>46112</v>
      </c>
      <c r="T108" s="11"/>
      <c r="U108" s="11"/>
      <c r="V108" s="11"/>
      <c r="W108" s="11"/>
      <c r="X108" s="11"/>
      <c r="Y108" s="11"/>
      <c r="Z108" s="11"/>
      <c r="AA108" s="18"/>
      <c r="AB108" s="18"/>
      <c r="AC108" s="18"/>
      <c r="AD108" s="18"/>
      <c r="AE108" s="18"/>
      <c r="AF108" s="18"/>
      <c r="AG108" s="18"/>
      <c r="AH108" s="18"/>
      <c r="AI108" s="11">
        <f t="shared" si="10"/>
        <v>46112</v>
      </c>
    </row>
    <row r="109" spans="1:35" s="16" customFormat="1" ht="16.95" customHeight="1" x14ac:dyDescent="0.3">
      <c r="A109" s="6">
        <f t="shared" si="9"/>
        <v>115</v>
      </c>
      <c r="B109" s="7" t="s">
        <v>647</v>
      </c>
      <c r="C109" s="8" t="s">
        <v>648</v>
      </c>
      <c r="D109" s="9" t="s">
        <v>649</v>
      </c>
      <c r="E109" s="8" t="s">
        <v>650</v>
      </c>
      <c r="F109" s="8" t="s">
        <v>131</v>
      </c>
      <c r="G109" s="10" t="s">
        <v>651</v>
      </c>
      <c r="H109" s="11" t="s">
        <v>348</v>
      </c>
      <c r="I109" s="11" t="s">
        <v>73</v>
      </c>
      <c r="J109" s="11" t="s">
        <v>73</v>
      </c>
      <c r="K109" s="11" t="s">
        <v>43</v>
      </c>
      <c r="L109" s="12">
        <v>4500</v>
      </c>
      <c r="M109" s="13">
        <v>500</v>
      </c>
      <c r="N109" s="13">
        <v>500</v>
      </c>
      <c r="O109" s="14">
        <v>45689</v>
      </c>
      <c r="P109" s="11">
        <v>45777</v>
      </c>
      <c r="Q109" s="11">
        <v>45869</v>
      </c>
      <c r="R109" s="11">
        <v>45930</v>
      </c>
      <c r="S109" s="11">
        <v>46022</v>
      </c>
      <c r="T109" s="11">
        <v>46112</v>
      </c>
      <c r="U109" s="11"/>
      <c r="V109" s="11"/>
      <c r="W109" s="11"/>
      <c r="X109" s="11"/>
      <c r="Y109" s="11"/>
      <c r="Z109" s="11"/>
      <c r="AA109" s="18"/>
      <c r="AB109" s="18"/>
      <c r="AC109" s="18"/>
      <c r="AD109" s="18"/>
      <c r="AE109" s="18"/>
      <c r="AF109" s="18"/>
      <c r="AG109" s="18"/>
      <c r="AH109" s="18"/>
      <c r="AI109" s="11">
        <f t="shared" si="10"/>
        <v>46112</v>
      </c>
    </row>
    <row r="110" spans="1:35" s="16" customFormat="1" ht="16.95" customHeight="1" x14ac:dyDescent="0.3">
      <c r="A110" s="6">
        <f>Liquidados!A293+1</f>
        <v>117</v>
      </c>
      <c r="B110" s="7" t="s">
        <v>652</v>
      </c>
      <c r="C110" s="8" t="s">
        <v>653</v>
      </c>
      <c r="D110" s="9" t="s">
        <v>654</v>
      </c>
      <c r="E110" s="8" t="s">
        <v>145</v>
      </c>
      <c r="F110" s="8" t="s">
        <v>131</v>
      </c>
      <c r="G110" s="10" t="s">
        <v>655</v>
      </c>
      <c r="H110" s="11" t="s">
        <v>348</v>
      </c>
      <c r="I110" s="11" t="s">
        <v>73</v>
      </c>
      <c r="J110" s="11" t="s">
        <v>73</v>
      </c>
      <c r="K110" s="11" t="s">
        <v>43</v>
      </c>
      <c r="L110" s="12">
        <v>5250</v>
      </c>
      <c r="M110" s="13">
        <v>500</v>
      </c>
      <c r="N110" s="13">
        <v>500</v>
      </c>
      <c r="O110" s="14">
        <v>45810</v>
      </c>
      <c r="P110" s="11">
        <v>45900</v>
      </c>
      <c r="Q110" s="11">
        <v>45991</v>
      </c>
      <c r="R110" s="11">
        <v>46081</v>
      </c>
      <c r="S110" s="11">
        <v>46112</v>
      </c>
      <c r="T110" s="11"/>
      <c r="U110" s="11"/>
      <c r="V110" s="11"/>
      <c r="W110" s="11"/>
      <c r="X110" s="11"/>
      <c r="Y110" s="11"/>
      <c r="Z110" s="11"/>
      <c r="AA110" s="8"/>
      <c r="AB110" s="8"/>
      <c r="AC110" s="8"/>
      <c r="AD110" s="11"/>
      <c r="AE110" s="11"/>
      <c r="AF110" s="11"/>
      <c r="AG110" s="11"/>
      <c r="AH110" s="11"/>
      <c r="AI110" s="11">
        <f t="shared" si="10"/>
        <v>46112</v>
      </c>
    </row>
    <row r="111" spans="1:35" s="16" customFormat="1" ht="16.95" customHeight="1" x14ac:dyDescent="0.3">
      <c r="A111" s="6">
        <f t="shared" ref="A111:A123" si="11">A110+1</f>
        <v>118</v>
      </c>
      <c r="B111" s="7" t="s">
        <v>656</v>
      </c>
      <c r="C111" s="8" t="s">
        <v>657</v>
      </c>
      <c r="D111" s="9" t="s">
        <v>658</v>
      </c>
      <c r="E111" s="8" t="s">
        <v>659</v>
      </c>
      <c r="F111" s="8" t="s">
        <v>115</v>
      </c>
      <c r="G111" s="10" t="s">
        <v>660</v>
      </c>
      <c r="H111" s="11" t="s">
        <v>661</v>
      </c>
      <c r="I111" s="11" t="s">
        <v>661</v>
      </c>
      <c r="J111" s="11" t="s">
        <v>662</v>
      </c>
      <c r="K111" s="11" t="s">
        <v>43</v>
      </c>
      <c r="L111" s="12">
        <v>5800</v>
      </c>
      <c r="M111" s="13">
        <v>800</v>
      </c>
      <c r="N111" s="13">
        <v>800</v>
      </c>
      <c r="O111" s="14">
        <v>45687</v>
      </c>
      <c r="P111" s="11">
        <v>45777</v>
      </c>
      <c r="Q111" s="11">
        <v>45869</v>
      </c>
      <c r="R111" s="11">
        <v>45961</v>
      </c>
      <c r="S111" s="11">
        <v>46053</v>
      </c>
      <c r="T111" s="11">
        <v>46142</v>
      </c>
      <c r="U111" s="11"/>
      <c r="V111" s="11"/>
      <c r="W111" s="11"/>
      <c r="X111" s="11"/>
      <c r="Y111" s="11"/>
      <c r="Z111" s="11"/>
      <c r="AA111" s="8"/>
      <c r="AB111" s="8"/>
      <c r="AC111" s="8"/>
      <c r="AD111" s="11"/>
      <c r="AE111" s="11"/>
      <c r="AF111" s="11"/>
      <c r="AG111" s="11"/>
      <c r="AH111" s="11"/>
      <c r="AI111" s="11">
        <f t="shared" si="10"/>
        <v>46142</v>
      </c>
    </row>
    <row r="112" spans="1:35" s="16" customFormat="1" ht="16.95" customHeight="1" x14ac:dyDescent="0.3">
      <c r="A112" s="6">
        <f t="shared" si="11"/>
        <v>119</v>
      </c>
      <c r="B112" s="7" t="s">
        <v>663</v>
      </c>
      <c r="C112" s="8" t="s">
        <v>664</v>
      </c>
      <c r="D112" s="9" t="s">
        <v>665</v>
      </c>
      <c r="E112" s="8" t="s">
        <v>440</v>
      </c>
      <c r="F112" s="8" t="s">
        <v>85</v>
      </c>
      <c r="G112" s="10" t="s">
        <v>666</v>
      </c>
      <c r="H112" s="11" t="s">
        <v>41</v>
      </c>
      <c r="I112" s="11" t="s">
        <v>50</v>
      </c>
      <c r="J112" s="11" t="s">
        <v>50</v>
      </c>
      <c r="K112" s="11" t="s">
        <v>43</v>
      </c>
      <c r="L112" s="12">
        <v>2000</v>
      </c>
      <c r="M112" s="13">
        <v>0</v>
      </c>
      <c r="N112" s="13">
        <v>0</v>
      </c>
      <c r="O112" s="14">
        <v>45870</v>
      </c>
      <c r="P112" s="11">
        <v>45900</v>
      </c>
      <c r="Q112" s="11">
        <v>45930</v>
      </c>
      <c r="R112" s="11">
        <v>45961</v>
      </c>
      <c r="S112" s="11">
        <v>45991</v>
      </c>
      <c r="T112" s="11">
        <v>46022</v>
      </c>
      <c r="U112" s="11">
        <v>46053</v>
      </c>
      <c r="V112" s="11">
        <v>46081</v>
      </c>
      <c r="W112" s="11">
        <v>46112</v>
      </c>
      <c r="X112" s="11"/>
      <c r="Y112" s="11"/>
      <c r="Z112" s="11"/>
      <c r="AA112" s="8"/>
      <c r="AB112" s="8"/>
      <c r="AC112" s="8"/>
      <c r="AD112" s="11"/>
      <c r="AE112" s="11"/>
      <c r="AF112" s="11"/>
      <c r="AG112" s="11"/>
      <c r="AH112" s="11"/>
      <c r="AI112" s="11">
        <f t="shared" si="10"/>
        <v>46112</v>
      </c>
    </row>
    <row r="113" spans="1:35" s="16" customFormat="1" ht="16.95" customHeight="1" x14ac:dyDescent="0.3">
      <c r="A113" s="6">
        <f t="shared" si="11"/>
        <v>120</v>
      </c>
      <c r="B113" s="7" t="s">
        <v>667</v>
      </c>
      <c r="C113" s="8" t="s">
        <v>668</v>
      </c>
      <c r="D113" s="9" t="s">
        <v>669</v>
      </c>
      <c r="E113" s="8" t="s">
        <v>69</v>
      </c>
      <c r="F113" s="8" t="s">
        <v>70</v>
      </c>
      <c r="G113" s="10" t="s">
        <v>670</v>
      </c>
      <c r="H113" s="11" t="s">
        <v>409</v>
      </c>
      <c r="I113" s="11" t="s">
        <v>73</v>
      </c>
      <c r="J113" s="11" t="s">
        <v>73</v>
      </c>
      <c r="K113" s="11" t="s">
        <v>43</v>
      </c>
      <c r="L113" s="12">
        <v>3800</v>
      </c>
      <c r="M113" s="13">
        <v>800</v>
      </c>
      <c r="N113" s="13">
        <v>0</v>
      </c>
      <c r="O113" s="14">
        <v>45371</v>
      </c>
      <c r="P113" s="11">
        <v>45473</v>
      </c>
      <c r="Q113" s="11">
        <v>45565</v>
      </c>
      <c r="R113" s="11">
        <v>45657</v>
      </c>
      <c r="S113" s="11">
        <v>45716</v>
      </c>
      <c r="T113" s="11">
        <v>45808</v>
      </c>
      <c r="U113" s="11">
        <v>45900</v>
      </c>
      <c r="V113" s="11">
        <v>45961</v>
      </c>
      <c r="W113" s="11">
        <v>46053</v>
      </c>
      <c r="X113" s="11">
        <v>46112</v>
      </c>
      <c r="Y113" s="11"/>
      <c r="Z113" s="11"/>
      <c r="AA113" s="8"/>
      <c r="AB113" s="8"/>
      <c r="AC113" s="8"/>
      <c r="AD113" s="11"/>
      <c r="AE113" s="11"/>
      <c r="AF113" s="11"/>
      <c r="AG113" s="11"/>
      <c r="AH113" s="11"/>
      <c r="AI113" s="11">
        <f t="shared" si="10"/>
        <v>46112</v>
      </c>
    </row>
    <row r="114" spans="1:35" s="16" customFormat="1" ht="16.95" customHeight="1" x14ac:dyDescent="0.3">
      <c r="A114" s="6">
        <f t="shared" si="11"/>
        <v>121</v>
      </c>
      <c r="B114" s="7" t="s">
        <v>671</v>
      </c>
      <c r="C114" s="8" t="s">
        <v>672</v>
      </c>
      <c r="D114" s="9" t="s">
        <v>673</v>
      </c>
      <c r="E114" s="8" t="s">
        <v>599</v>
      </c>
      <c r="F114" s="8" t="s">
        <v>310</v>
      </c>
      <c r="G114" s="10" t="s">
        <v>674</v>
      </c>
      <c r="H114" s="11" t="s">
        <v>675</v>
      </c>
      <c r="I114" s="11" t="s">
        <v>451</v>
      </c>
      <c r="J114" s="11" t="s">
        <v>50</v>
      </c>
      <c r="K114" s="11" t="s">
        <v>51</v>
      </c>
      <c r="L114" s="12">
        <v>6000</v>
      </c>
      <c r="M114" s="13">
        <v>800</v>
      </c>
      <c r="N114" s="13">
        <v>800</v>
      </c>
      <c r="O114" s="14">
        <v>45444</v>
      </c>
      <c r="P114" s="11">
        <v>45535</v>
      </c>
      <c r="Q114" s="11">
        <v>45626</v>
      </c>
      <c r="R114" s="11">
        <v>45716</v>
      </c>
      <c r="S114" s="11">
        <v>45808</v>
      </c>
      <c r="T114" s="11">
        <v>45900</v>
      </c>
      <c r="U114" s="11">
        <v>45991</v>
      </c>
      <c r="V114" s="11">
        <v>46081</v>
      </c>
      <c r="W114" s="11">
        <v>46112</v>
      </c>
      <c r="X114" s="11"/>
      <c r="Y114" s="11"/>
      <c r="Z114" s="11"/>
      <c r="AA114" s="8"/>
      <c r="AB114" s="8"/>
      <c r="AC114" s="8"/>
      <c r="AD114" s="11"/>
      <c r="AE114" s="11"/>
      <c r="AF114" s="11"/>
      <c r="AG114" s="11"/>
      <c r="AH114" s="11"/>
      <c r="AI114" s="11">
        <f t="shared" si="10"/>
        <v>46112</v>
      </c>
    </row>
    <row r="115" spans="1:35" s="16" customFormat="1" ht="16.95" customHeight="1" x14ac:dyDescent="0.3">
      <c r="A115" s="6">
        <f t="shared" si="11"/>
        <v>122</v>
      </c>
      <c r="B115" s="7" t="s">
        <v>676</v>
      </c>
      <c r="C115" s="8" t="s">
        <v>677</v>
      </c>
      <c r="D115" s="9" t="s">
        <v>678</v>
      </c>
      <c r="E115" s="8" t="s">
        <v>38</v>
      </c>
      <c r="F115" s="8" t="s">
        <v>131</v>
      </c>
      <c r="G115" s="10" t="s">
        <v>679</v>
      </c>
      <c r="H115" s="11" t="s">
        <v>680</v>
      </c>
      <c r="I115" s="11" t="s">
        <v>680</v>
      </c>
      <c r="J115" s="11" t="s">
        <v>50</v>
      </c>
      <c r="K115" s="11" t="s">
        <v>43</v>
      </c>
      <c r="L115" s="12">
        <v>1970</v>
      </c>
      <c r="M115" s="13">
        <v>0</v>
      </c>
      <c r="N115" s="13">
        <v>0</v>
      </c>
      <c r="O115" s="14">
        <v>45966</v>
      </c>
      <c r="P115" s="11">
        <v>46022</v>
      </c>
      <c r="Q115" s="11">
        <v>46053</v>
      </c>
      <c r="R115" s="11">
        <v>46081</v>
      </c>
      <c r="S115" s="11">
        <v>46112</v>
      </c>
      <c r="T115" s="11"/>
      <c r="U115" s="11"/>
      <c r="V115" s="11"/>
      <c r="W115" s="11"/>
      <c r="X115" s="11"/>
      <c r="Y115" s="11"/>
      <c r="Z115" s="11"/>
      <c r="AA115" s="8"/>
      <c r="AB115" s="8"/>
      <c r="AC115" s="8"/>
      <c r="AD115" s="11"/>
      <c r="AE115" s="11"/>
      <c r="AF115" s="11"/>
      <c r="AG115" s="11"/>
      <c r="AH115" s="11"/>
      <c r="AI115" s="11">
        <f t="shared" si="10"/>
        <v>46112</v>
      </c>
    </row>
    <row r="116" spans="1:35" s="16" customFormat="1" ht="16.95" customHeight="1" x14ac:dyDescent="0.3">
      <c r="A116" s="6">
        <f t="shared" si="11"/>
        <v>123</v>
      </c>
      <c r="B116" s="7" t="s">
        <v>681</v>
      </c>
      <c r="C116" s="8" t="s">
        <v>682</v>
      </c>
      <c r="D116" s="9" t="s">
        <v>683</v>
      </c>
      <c r="E116" s="8" t="s">
        <v>363</v>
      </c>
      <c r="F116" s="8" t="s">
        <v>290</v>
      </c>
      <c r="G116" s="10" t="s">
        <v>684</v>
      </c>
      <c r="H116" s="11" t="s">
        <v>685</v>
      </c>
      <c r="I116" s="11" t="s">
        <v>125</v>
      </c>
      <c r="J116" s="11" t="s">
        <v>126</v>
      </c>
      <c r="K116" s="11" t="s">
        <v>43</v>
      </c>
      <c r="L116" s="12">
        <v>4900</v>
      </c>
      <c r="M116" s="13">
        <v>0</v>
      </c>
      <c r="N116" s="13">
        <v>0</v>
      </c>
      <c r="O116" s="14">
        <v>45334</v>
      </c>
      <c r="P116" s="11">
        <v>45443</v>
      </c>
      <c r="Q116" s="11">
        <v>45535</v>
      </c>
      <c r="R116" s="11">
        <v>45626</v>
      </c>
      <c r="S116" s="11">
        <v>45716</v>
      </c>
      <c r="T116" s="11">
        <v>45808</v>
      </c>
      <c r="U116" s="11">
        <v>45900</v>
      </c>
      <c r="V116" s="11">
        <v>45991</v>
      </c>
      <c r="W116" s="11">
        <v>46081</v>
      </c>
      <c r="X116" s="11">
        <v>46112</v>
      </c>
      <c r="Y116" s="11"/>
      <c r="Z116" s="11"/>
      <c r="AA116" s="8"/>
      <c r="AB116" s="8"/>
      <c r="AC116" s="8"/>
      <c r="AD116" s="11"/>
      <c r="AE116" s="11"/>
      <c r="AF116" s="11"/>
      <c r="AG116" s="11"/>
      <c r="AH116" s="11"/>
      <c r="AI116" s="11">
        <f t="shared" si="10"/>
        <v>46112</v>
      </c>
    </row>
    <row r="117" spans="1:35" s="16" customFormat="1" ht="16.95" customHeight="1" x14ac:dyDescent="0.3">
      <c r="A117" s="6">
        <f t="shared" si="11"/>
        <v>124</v>
      </c>
      <c r="B117" s="7" t="s">
        <v>686</v>
      </c>
      <c r="C117" s="8" t="s">
        <v>687</v>
      </c>
      <c r="D117" s="9" t="s">
        <v>688</v>
      </c>
      <c r="E117" s="8" t="s">
        <v>689</v>
      </c>
      <c r="F117" s="8" t="s">
        <v>39</v>
      </c>
      <c r="G117" s="10" t="s">
        <v>690</v>
      </c>
      <c r="H117" s="11" t="s">
        <v>186</v>
      </c>
      <c r="I117" s="11" t="s">
        <v>50</v>
      </c>
      <c r="J117" s="11" t="s">
        <v>50</v>
      </c>
      <c r="K117" s="11" t="s">
        <v>43</v>
      </c>
      <c r="L117" s="12">
        <v>4800</v>
      </c>
      <c r="M117" s="13">
        <v>375</v>
      </c>
      <c r="N117" s="13"/>
      <c r="O117" s="14">
        <v>46027</v>
      </c>
      <c r="P117" s="11">
        <v>46112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8"/>
      <c r="AB117" s="8"/>
      <c r="AC117" s="8"/>
      <c r="AD117" s="11"/>
      <c r="AE117" s="11"/>
      <c r="AF117" s="11"/>
      <c r="AG117" s="11"/>
      <c r="AH117" s="11"/>
      <c r="AI117" s="11">
        <f t="shared" si="10"/>
        <v>46112</v>
      </c>
    </row>
    <row r="118" spans="1:35" s="16" customFormat="1" ht="16.95" customHeight="1" x14ac:dyDescent="0.3">
      <c r="A118" s="6">
        <f t="shared" si="11"/>
        <v>125</v>
      </c>
      <c r="B118" s="7" t="s">
        <v>691</v>
      </c>
      <c r="C118" s="8" t="s">
        <v>692</v>
      </c>
      <c r="D118" s="9" t="s">
        <v>693</v>
      </c>
      <c r="E118" s="8" t="s">
        <v>694</v>
      </c>
      <c r="F118" s="8" t="s">
        <v>197</v>
      </c>
      <c r="G118" s="10" t="s">
        <v>695</v>
      </c>
      <c r="H118" s="11" t="s">
        <v>696</v>
      </c>
      <c r="I118" s="11" t="s">
        <v>697</v>
      </c>
      <c r="J118" s="11" t="s">
        <v>618</v>
      </c>
      <c r="K118" s="11" t="s">
        <v>51</v>
      </c>
      <c r="L118" s="12">
        <v>10000</v>
      </c>
      <c r="M118" s="13">
        <v>800</v>
      </c>
      <c r="N118" s="13">
        <v>800</v>
      </c>
      <c r="O118" s="14">
        <v>45691</v>
      </c>
      <c r="P118" s="11">
        <v>45869</v>
      </c>
      <c r="Q118" s="11">
        <v>46053</v>
      </c>
      <c r="R118" s="11">
        <v>46234</v>
      </c>
      <c r="S118" s="11"/>
      <c r="T118" s="11"/>
      <c r="U118" s="11"/>
      <c r="V118" s="11"/>
      <c r="W118" s="11"/>
      <c r="X118" s="11"/>
      <c r="Y118" s="11"/>
      <c r="Z118" s="11"/>
      <c r="AA118" s="8"/>
      <c r="AB118" s="8"/>
      <c r="AC118" s="8"/>
      <c r="AD118" s="11"/>
      <c r="AE118" s="11"/>
      <c r="AF118" s="11"/>
      <c r="AG118" s="11"/>
      <c r="AH118" s="11"/>
      <c r="AI118" s="11">
        <f t="shared" si="10"/>
        <v>46234</v>
      </c>
    </row>
    <row r="119" spans="1:35" s="16" customFormat="1" ht="16.95" customHeight="1" x14ac:dyDescent="0.3">
      <c r="A119" s="6">
        <f t="shared" si="11"/>
        <v>126</v>
      </c>
      <c r="B119" s="7" t="s">
        <v>698</v>
      </c>
      <c r="C119" s="8" t="s">
        <v>699</v>
      </c>
      <c r="D119" s="9" t="s">
        <v>700</v>
      </c>
      <c r="E119" s="8" t="s">
        <v>701</v>
      </c>
      <c r="F119" s="8" t="s">
        <v>56</v>
      </c>
      <c r="G119" s="10" t="s">
        <v>702</v>
      </c>
      <c r="H119" s="11" t="s">
        <v>359</v>
      </c>
      <c r="I119" s="11" t="s">
        <v>50</v>
      </c>
      <c r="J119" s="11" t="s">
        <v>50</v>
      </c>
      <c r="K119" s="11" t="s">
        <v>43</v>
      </c>
      <c r="L119" s="12">
        <v>2700</v>
      </c>
      <c r="M119" s="13">
        <v>0</v>
      </c>
      <c r="N119" s="13">
        <v>0</v>
      </c>
      <c r="O119" s="14">
        <v>45559</v>
      </c>
      <c r="P119" s="11">
        <v>45657</v>
      </c>
      <c r="Q119" s="11">
        <v>45747</v>
      </c>
      <c r="R119" s="11">
        <v>45838</v>
      </c>
      <c r="S119" s="11">
        <v>45930</v>
      </c>
      <c r="T119" s="11">
        <v>46022</v>
      </c>
      <c r="U119" s="11">
        <v>46112</v>
      </c>
      <c r="V119" s="11"/>
      <c r="W119" s="11"/>
      <c r="X119" s="11"/>
      <c r="Y119" s="11"/>
      <c r="Z119" s="11"/>
      <c r="AA119" s="18"/>
      <c r="AB119" s="18"/>
      <c r="AC119" s="18"/>
      <c r="AD119" s="18"/>
      <c r="AE119" s="18"/>
      <c r="AF119" s="18"/>
      <c r="AG119" s="18"/>
      <c r="AH119" s="18"/>
      <c r="AI119" s="11">
        <f t="shared" si="10"/>
        <v>46112</v>
      </c>
    </row>
    <row r="120" spans="1:35" s="16" customFormat="1" ht="16.95" customHeight="1" x14ac:dyDescent="0.3">
      <c r="A120" s="6">
        <f t="shared" si="11"/>
        <v>127</v>
      </c>
      <c r="B120" s="7" t="s">
        <v>703</v>
      </c>
      <c r="C120" s="8" t="s">
        <v>704</v>
      </c>
      <c r="D120" s="9" t="s">
        <v>705</v>
      </c>
      <c r="E120" s="8" t="s">
        <v>706</v>
      </c>
      <c r="F120" s="8" t="s">
        <v>78</v>
      </c>
      <c r="G120" s="10" t="s">
        <v>707</v>
      </c>
      <c r="H120" s="11" t="s">
        <v>50</v>
      </c>
      <c r="I120" s="11" t="s">
        <v>50</v>
      </c>
      <c r="J120" s="11" t="s">
        <v>50</v>
      </c>
      <c r="K120" s="11" t="s">
        <v>43</v>
      </c>
      <c r="L120" s="12">
        <v>3500</v>
      </c>
      <c r="M120" s="13">
        <v>0</v>
      </c>
      <c r="N120" s="13">
        <v>0</v>
      </c>
      <c r="O120" s="14">
        <v>45947</v>
      </c>
      <c r="P120" s="11">
        <v>46022</v>
      </c>
      <c r="Q120" s="11">
        <v>46053</v>
      </c>
      <c r="R120" s="11">
        <v>46081</v>
      </c>
      <c r="S120" s="11">
        <v>46112</v>
      </c>
      <c r="T120" s="11"/>
      <c r="U120" s="11"/>
      <c r="V120" s="11"/>
      <c r="W120" s="11"/>
      <c r="X120" s="11"/>
      <c r="Y120" s="11"/>
      <c r="Z120" s="11"/>
      <c r="AA120" s="8"/>
      <c r="AB120" s="8"/>
      <c r="AC120" s="8"/>
      <c r="AD120" s="11"/>
      <c r="AE120" s="11"/>
      <c r="AF120" s="11"/>
      <c r="AG120" s="11"/>
      <c r="AH120" s="11"/>
      <c r="AI120" s="11">
        <f t="shared" si="10"/>
        <v>46112</v>
      </c>
    </row>
    <row r="121" spans="1:35" s="16" customFormat="1" ht="16.95" customHeight="1" x14ac:dyDescent="0.3">
      <c r="A121" s="6">
        <f t="shared" si="11"/>
        <v>128</v>
      </c>
      <c r="B121" s="7" t="s">
        <v>708</v>
      </c>
      <c r="C121" s="8" t="s">
        <v>709</v>
      </c>
      <c r="D121" s="9" t="s">
        <v>710</v>
      </c>
      <c r="E121" s="8" t="s">
        <v>711</v>
      </c>
      <c r="F121" s="8" t="s">
        <v>115</v>
      </c>
      <c r="G121" s="10" t="s">
        <v>712</v>
      </c>
      <c r="H121" s="11" t="s">
        <v>713</v>
      </c>
      <c r="I121" s="11" t="s">
        <v>255</v>
      </c>
      <c r="J121" s="11" t="s">
        <v>255</v>
      </c>
      <c r="K121" s="11" t="s">
        <v>43</v>
      </c>
      <c r="L121" s="12">
        <v>4500</v>
      </c>
      <c r="M121" s="13">
        <v>0</v>
      </c>
      <c r="N121" s="13">
        <v>0</v>
      </c>
      <c r="O121" s="14">
        <v>45561</v>
      </c>
      <c r="P121" s="11">
        <v>45657</v>
      </c>
      <c r="Q121" s="11">
        <v>45688</v>
      </c>
      <c r="R121" s="11">
        <v>45777</v>
      </c>
      <c r="S121" s="11">
        <v>45869</v>
      </c>
      <c r="T121" s="11">
        <v>45961</v>
      </c>
      <c r="U121" s="11">
        <v>46053</v>
      </c>
      <c r="V121" s="11">
        <v>46142</v>
      </c>
      <c r="W121" s="11"/>
      <c r="X121" s="11"/>
      <c r="Y121" s="11"/>
      <c r="Z121" s="11"/>
      <c r="AA121" s="8"/>
      <c r="AB121" s="8"/>
      <c r="AC121" s="8"/>
      <c r="AD121" s="11"/>
      <c r="AE121" s="11"/>
      <c r="AF121" s="11"/>
      <c r="AG121" s="11"/>
      <c r="AH121" s="11"/>
      <c r="AI121" s="11">
        <f t="shared" si="10"/>
        <v>46142</v>
      </c>
    </row>
    <row r="122" spans="1:35" s="16" customFormat="1" ht="16.95" customHeight="1" x14ac:dyDescent="0.3">
      <c r="A122" s="6">
        <f t="shared" si="11"/>
        <v>129</v>
      </c>
      <c r="B122" s="7" t="s">
        <v>714</v>
      </c>
      <c r="C122" s="8" t="s">
        <v>715</v>
      </c>
      <c r="D122" s="9" t="s">
        <v>716</v>
      </c>
      <c r="E122" s="8" t="s">
        <v>413</v>
      </c>
      <c r="F122" s="8" t="s">
        <v>131</v>
      </c>
      <c r="G122" s="10" t="s">
        <v>717</v>
      </c>
      <c r="H122" s="11" t="s">
        <v>718</v>
      </c>
      <c r="I122" s="11" t="s">
        <v>416</v>
      </c>
      <c r="J122" s="11" t="s">
        <v>50</v>
      </c>
      <c r="K122" s="11" t="s">
        <v>43</v>
      </c>
      <c r="L122" s="12">
        <v>2100</v>
      </c>
      <c r="M122" s="13">
        <v>0</v>
      </c>
      <c r="N122" s="13">
        <v>0</v>
      </c>
      <c r="O122" s="14">
        <v>45819</v>
      </c>
      <c r="P122" s="11">
        <v>45900</v>
      </c>
      <c r="Q122" s="11">
        <v>45930</v>
      </c>
      <c r="R122" s="11">
        <v>46022</v>
      </c>
      <c r="S122" s="11">
        <v>46053</v>
      </c>
      <c r="T122" s="11">
        <v>46081</v>
      </c>
      <c r="U122" s="11">
        <v>46112</v>
      </c>
      <c r="V122" s="11"/>
      <c r="W122" s="11"/>
      <c r="X122" s="11"/>
      <c r="Y122" s="11"/>
      <c r="Z122" s="11"/>
      <c r="AA122" s="8"/>
      <c r="AB122" s="8"/>
      <c r="AC122" s="8"/>
      <c r="AD122" s="11"/>
      <c r="AE122" s="11"/>
      <c r="AF122" s="11"/>
      <c r="AG122" s="11"/>
      <c r="AH122" s="11"/>
      <c r="AI122" s="11">
        <f t="shared" si="10"/>
        <v>46112</v>
      </c>
    </row>
    <row r="123" spans="1:35" s="16" customFormat="1" ht="16.95" customHeight="1" x14ac:dyDescent="0.3">
      <c r="A123" s="6">
        <f t="shared" si="11"/>
        <v>130</v>
      </c>
      <c r="B123" s="7" t="s">
        <v>719</v>
      </c>
      <c r="C123" s="8" t="s">
        <v>720</v>
      </c>
      <c r="D123" s="9" t="s">
        <v>721</v>
      </c>
      <c r="E123" s="8" t="s">
        <v>108</v>
      </c>
      <c r="F123" s="8" t="s">
        <v>56</v>
      </c>
      <c r="G123" s="10" t="s">
        <v>722</v>
      </c>
      <c r="H123" s="11" t="s">
        <v>134</v>
      </c>
      <c r="I123" s="11" t="s">
        <v>134</v>
      </c>
      <c r="J123" s="11" t="s">
        <v>50</v>
      </c>
      <c r="K123" s="11" t="s">
        <v>43</v>
      </c>
      <c r="L123" s="12">
        <v>1800</v>
      </c>
      <c r="M123" s="13">
        <v>0</v>
      </c>
      <c r="N123" s="13">
        <v>0</v>
      </c>
      <c r="O123" s="14">
        <v>45477</v>
      </c>
      <c r="P123" s="11">
        <v>45565</v>
      </c>
      <c r="Q123" s="11">
        <v>45657</v>
      </c>
      <c r="R123" s="11">
        <v>45747</v>
      </c>
      <c r="S123" s="11">
        <v>45838</v>
      </c>
      <c r="T123" s="11">
        <v>45930</v>
      </c>
      <c r="U123" s="11">
        <v>46022</v>
      </c>
      <c r="V123" s="11">
        <v>46112</v>
      </c>
      <c r="W123" s="11"/>
      <c r="X123" s="11"/>
      <c r="Y123" s="11"/>
      <c r="Z123" s="11"/>
      <c r="AA123" s="18"/>
      <c r="AB123" s="18"/>
      <c r="AC123" s="18"/>
      <c r="AD123" s="18"/>
      <c r="AE123" s="18"/>
      <c r="AF123" s="18"/>
      <c r="AG123" s="18"/>
      <c r="AH123" s="18"/>
      <c r="AI123" s="11">
        <f t="shared" si="10"/>
        <v>46112</v>
      </c>
    </row>
    <row r="124" spans="1:35" s="16" customFormat="1" ht="16.95" customHeight="1" x14ac:dyDescent="0.3">
      <c r="A124" s="6">
        <f>Liquidados!A294+1</f>
        <v>132</v>
      </c>
      <c r="B124" s="7" t="s">
        <v>723</v>
      </c>
      <c r="C124" s="8" t="s">
        <v>724</v>
      </c>
      <c r="D124" s="9" t="s">
        <v>725</v>
      </c>
      <c r="E124" s="8" t="s">
        <v>38</v>
      </c>
      <c r="F124" s="8" t="s">
        <v>131</v>
      </c>
      <c r="G124" s="10" t="s">
        <v>726</v>
      </c>
      <c r="H124" s="11" t="s">
        <v>359</v>
      </c>
      <c r="I124" s="11" t="s">
        <v>50</v>
      </c>
      <c r="J124" s="11" t="s">
        <v>50</v>
      </c>
      <c r="K124" s="11" t="s">
        <v>43</v>
      </c>
      <c r="L124" s="12">
        <v>1970</v>
      </c>
      <c r="M124" s="13">
        <v>0</v>
      </c>
      <c r="N124" s="13">
        <v>0</v>
      </c>
      <c r="O124" s="14">
        <v>45936</v>
      </c>
      <c r="P124" s="11">
        <v>46022</v>
      </c>
      <c r="Q124" s="11">
        <v>46053</v>
      </c>
      <c r="R124" s="11">
        <v>46081</v>
      </c>
      <c r="S124" s="11">
        <v>46112</v>
      </c>
      <c r="T124" s="11"/>
      <c r="U124" s="11"/>
      <c r="V124" s="11"/>
      <c r="W124" s="11"/>
      <c r="X124" s="11"/>
      <c r="Y124" s="11"/>
      <c r="Z124" s="11"/>
      <c r="AA124" s="8"/>
      <c r="AB124" s="8"/>
      <c r="AC124" s="8"/>
      <c r="AD124" s="11"/>
      <c r="AE124" s="11"/>
      <c r="AF124" s="11"/>
      <c r="AG124" s="11"/>
      <c r="AH124" s="11"/>
      <c r="AI124" s="11">
        <f t="shared" si="10"/>
        <v>46112</v>
      </c>
    </row>
    <row r="125" spans="1:35" s="16" customFormat="1" ht="16.95" customHeight="1" x14ac:dyDescent="0.3">
      <c r="A125" s="6">
        <f>A124+1</f>
        <v>133</v>
      </c>
      <c r="B125" s="7" t="s">
        <v>727</v>
      </c>
      <c r="C125" s="8" t="s">
        <v>728</v>
      </c>
      <c r="D125" s="9" t="s">
        <v>729</v>
      </c>
      <c r="E125" s="8" t="s">
        <v>730</v>
      </c>
      <c r="F125" s="8" t="s">
        <v>310</v>
      </c>
      <c r="G125" s="10" t="s">
        <v>731</v>
      </c>
      <c r="H125" s="11" t="s">
        <v>732</v>
      </c>
      <c r="I125" s="11" t="s">
        <v>733</v>
      </c>
      <c r="J125" s="11" t="s">
        <v>733</v>
      </c>
      <c r="K125" s="11" t="s">
        <v>51</v>
      </c>
      <c r="L125" s="12">
        <v>8000</v>
      </c>
      <c r="M125" s="13">
        <v>800</v>
      </c>
      <c r="N125" s="13">
        <v>800</v>
      </c>
      <c r="O125" s="14">
        <v>45267</v>
      </c>
      <c r="P125" s="11">
        <v>45351</v>
      </c>
      <c r="Q125" s="11">
        <v>45443</v>
      </c>
      <c r="R125" s="11">
        <v>45535</v>
      </c>
      <c r="S125" s="11">
        <v>45626</v>
      </c>
      <c r="T125" s="11">
        <v>45716</v>
      </c>
      <c r="U125" s="11">
        <v>45808</v>
      </c>
      <c r="V125" s="11">
        <v>45900</v>
      </c>
      <c r="W125" s="11">
        <v>45991</v>
      </c>
      <c r="X125" s="11">
        <v>46081</v>
      </c>
      <c r="Y125" s="11">
        <v>46112</v>
      </c>
      <c r="Z125" s="11"/>
      <c r="AA125" s="8"/>
      <c r="AB125" s="8"/>
      <c r="AC125" s="8"/>
      <c r="AD125" s="11"/>
      <c r="AE125" s="11"/>
      <c r="AF125" s="11"/>
      <c r="AG125" s="11"/>
      <c r="AH125" s="11"/>
      <c r="AI125" s="11">
        <f t="shared" si="10"/>
        <v>46112</v>
      </c>
    </row>
    <row r="126" spans="1:35" s="16" customFormat="1" ht="16.95" customHeight="1" x14ac:dyDescent="0.3">
      <c r="A126" s="6">
        <f>A125+1</f>
        <v>134</v>
      </c>
      <c r="B126" s="7" t="s">
        <v>734</v>
      </c>
      <c r="C126" s="8" t="s">
        <v>735</v>
      </c>
      <c r="D126" s="9" t="s">
        <v>736</v>
      </c>
      <c r="E126" s="8" t="s">
        <v>737</v>
      </c>
      <c r="F126" s="8" t="s">
        <v>131</v>
      </c>
      <c r="G126" s="10" t="s">
        <v>738</v>
      </c>
      <c r="H126" s="11" t="s">
        <v>579</v>
      </c>
      <c r="I126" s="11" t="s">
        <v>300</v>
      </c>
      <c r="J126" s="11" t="s">
        <v>300</v>
      </c>
      <c r="K126" s="11" t="s">
        <v>43</v>
      </c>
      <c r="L126" s="12">
        <v>5000</v>
      </c>
      <c r="M126" s="13">
        <v>500</v>
      </c>
      <c r="N126" s="13">
        <v>500</v>
      </c>
      <c r="O126" s="14">
        <v>45839</v>
      </c>
      <c r="P126" s="11">
        <v>45930</v>
      </c>
      <c r="Q126" s="11">
        <v>46022</v>
      </c>
      <c r="R126" s="11">
        <v>46112</v>
      </c>
      <c r="S126" s="11"/>
      <c r="T126" s="11"/>
      <c r="U126" s="11"/>
      <c r="V126" s="11"/>
      <c r="W126" s="11"/>
      <c r="X126" s="11"/>
      <c r="Y126" s="11"/>
      <c r="Z126" s="11"/>
      <c r="AA126" s="18"/>
      <c r="AB126" s="18"/>
      <c r="AC126" s="18"/>
      <c r="AD126" s="18"/>
      <c r="AE126" s="18"/>
      <c r="AF126" s="18"/>
      <c r="AG126" s="18"/>
      <c r="AH126" s="18"/>
      <c r="AI126" s="11">
        <f t="shared" si="10"/>
        <v>46112</v>
      </c>
    </row>
    <row r="127" spans="1:35" s="16" customFormat="1" ht="16.95" customHeight="1" x14ac:dyDescent="0.3">
      <c r="A127" s="6">
        <f>Liquidados!A295+1</f>
        <v>136</v>
      </c>
      <c r="B127" s="7" t="s">
        <v>739</v>
      </c>
      <c r="C127" s="8" t="s">
        <v>740</v>
      </c>
      <c r="D127" s="19" t="s">
        <v>741</v>
      </c>
      <c r="E127" s="8" t="s">
        <v>742</v>
      </c>
      <c r="F127" s="8" t="s">
        <v>70</v>
      </c>
      <c r="G127" s="10" t="s">
        <v>743</v>
      </c>
      <c r="H127" s="11" t="s">
        <v>744</v>
      </c>
      <c r="I127" s="11" t="s">
        <v>745</v>
      </c>
      <c r="J127" s="11" t="s">
        <v>159</v>
      </c>
      <c r="K127" s="11" t="s">
        <v>147</v>
      </c>
      <c r="L127" s="12">
        <v>4000</v>
      </c>
      <c r="M127" s="13">
        <v>800</v>
      </c>
      <c r="N127" s="13">
        <v>800</v>
      </c>
      <c r="O127" s="14">
        <v>46001</v>
      </c>
      <c r="P127" s="11">
        <v>46081</v>
      </c>
      <c r="Q127" s="11">
        <v>46112</v>
      </c>
      <c r="R127" s="11"/>
      <c r="S127" s="11"/>
      <c r="T127" s="11"/>
      <c r="U127" s="11"/>
      <c r="V127" s="11"/>
      <c r="W127" s="11"/>
      <c r="X127" s="11"/>
      <c r="Y127" s="11"/>
      <c r="Z127" s="11"/>
      <c r="AA127" s="8"/>
      <c r="AB127" s="8"/>
      <c r="AC127" s="8"/>
      <c r="AD127" s="11"/>
      <c r="AE127" s="11"/>
      <c r="AF127" s="11"/>
      <c r="AG127" s="11"/>
      <c r="AH127" s="11"/>
      <c r="AI127" s="11">
        <f t="shared" si="10"/>
        <v>46112</v>
      </c>
    </row>
    <row r="128" spans="1:35" s="16" customFormat="1" ht="16.95" customHeight="1" x14ac:dyDescent="0.3">
      <c r="A128" s="6">
        <f t="shared" ref="A128:A152" si="12">A127+1</f>
        <v>137</v>
      </c>
      <c r="B128" s="7" t="s">
        <v>746</v>
      </c>
      <c r="C128" s="8" t="s">
        <v>747</v>
      </c>
      <c r="D128" s="9" t="s">
        <v>748</v>
      </c>
      <c r="E128" s="8" t="s">
        <v>749</v>
      </c>
      <c r="F128" s="8" t="s">
        <v>131</v>
      </c>
      <c r="G128" s="10" t="s">
        <v>750</v>
      </c>
      <c r="H128" s="11" t="s">
        <v>751</v>
      </c>
      <c r="I128" s="11" t="s">
        <v>50</v>
      </c>
      <c r="J128" s="11" t="s">
        <v>50</v>
      </c>
      <c r="K128" s="11" t="s">
        <v>43</v>
      </c>
      <c r="L128" s="12">
        <v>1130</v>
      </c>
      <c r="M128" s="13">
        <v>0</v>
      </c>
      <c r="N128" s="13">
        <v>0</v>
      </c>
      <c r="O128" s="14">
        <v>45894</v>
      </c>
      <c r="P128" s="11">
        <v>45991</v>
      </c>
      <c r="Q128" s="11">
        <v>46022</v>
      </c>
      <c r="R128" s="11">
        <v>46053</v>
      </c>
      <c r="S128" s="11">
        <v>46081</v>
      </c>
      <c r="T128" s="11">
        <v>46112</v>
      </c>
      <c r="U128" s="11"/>
      <c r="V128" s="11"/>
      <c r="W128" s="11"/>
      <c r="X128" s="11"/>
      <c r="Y128" s="11"/>
      <c r="Z128" s="11"/>
      <c r="AA128" s="8"/>
      <c r="AB128" s="8"/>
      <c r="AC128" s="8"/>
      <c r="AD128" s="11"/>
      <c r="AE128" s="11"/>
      <c r="AF128" s="11"/>
      <c r="AG128" s="11"/>
      <c r="AH128" s="11"/>
      <c r="AI128" s="11">
        <f t="shared" si="10"/>
        <v>46112</v>
      </c>
    </row>
    <row r="129" spans="1:35" s="16" customFormat="1" ht="16.95" customHeight="1" x14ac:dyDescent="0.3">
      <c r="A129" s="6">
        <f t="shared" si="12"/>
        <v>138</v>
      </c>
      <c r="B129" s="7" t="s">
        <v>752</v>
      </c>
      <c r="C129" s="21" t="s">
        <v>753</v>
      </c>
      <c r="D129" s="9" t="s">
        <v>754</v>
      </c>
      <c r="E129" s="8" t="s">
        <v>357</v>
      </c>
      <c r="F129" s="8" t="s">
        <v>197</v>
      </c>
      <c r="G129" s="10" t="s">
        <v>755</v>
      </c>
      <c r="H129" s="11" t="s">
        <v>756</v>
      </c>
      <c r="I129" s="11" t="s">
        <v>99</v>
      </c>
      <c r="J129" s="11" t="s">
        <v>50</v>
      </c>
      <c r="K129" s="11" t="s">
        <v>43</v>
      </c>
      <c r="L129" s="12">
        <v>3000</v>
      </c>
      <c r="M129" s="13">
        <v>375</v>
      </c>
      <c r="N129" s="13">
        <v>0</v>
      </c>
      <c r="O129" s="14">
        <v>45693</v>
      </c>
      <c r="P129" s="11">
        <v>45777</v>
      </c>
      <c r="Q129" s="11">
        <v>45869</v>
      </c>
      <c r="R129" s="11">
        <v>45961</v>
      </c>
      <c r="S129" s="11">
        <v>46053</v>
      </c>
      <c r="T129" s="15">
        <v>46142</v>
      </c>
      <c r="U129" s="11"/>
      <c r="V129" s="11"/>
      <c r="W129" s="8"/>
      <c r="X129" s="8"/>
      <c r="Y129" s="8"/>
      <c r="Z129" s="11"/>
      <c r="AA129" s="8"/>
      <c r="AB129" s="8"/>
      <c r="AC129" s="8"/>
      <c r="AD129" s="11"/>
      <c r="AE129" s="11"/>
      <c r="AF129" s="11"/>
      <c r="AG129" s="11"/>
      <c r="AH129" s="11"/>
      <c r="AI129" s="11">
        <f t="shared" si="10"/>
        <v>46142</v>
      </c>
    </row>
    <row r="130" spans="1:35" s="16" customFormat="1" ht="16.95" customHeight="1" x14ac:dyDescent="0.3">
      <c r="A130" s="6">
        <f t="shared" si="12"/>
        <v>139</v>
      </c>
      <c r="B130" s="7" t="s">
        <v>757</v>
      </c>
      <c r="C130" s="8" t="s">
        <v>758</v>
      </c>
      <c r="D130" s="9" t="s">
        <v>759</v>
      </c>
      <c r="E130" s="8" t="s">
        <v>760</v>
      </c>
      <c r="F130" s="8" t="s">
        <v>39</v>
      </c>
      <c r="G130" s="10" t="s">
        <v>761</v>
      </c>
      <c r="H130" s="11" t="s">
        <v>762</v>
      </c>
      <c r="I130" s="11" t="s">
        <v>99</v>
      </c>
      <c r="J130" s="11" t="s">
        <v>50</v>
      </c>
      <c r="K130" s="11" t="s">
        <v>43</v>
      </c>
      <c r="L130" s="12">
        <v>2800</v>
      </c>
      <c r="M130" s="13">
        <v>0</v>
      </c>
      <c r="N130" s="13">
        <v>0</v>
      </c>
      <c r="O130" s="14">
        <v>45839</v>
      </c>
      <c r="P130" s="11">
        <v>45930</v>
      </c>
      <c r="Q130" s="11">
        <v>46022</v>
      </c>
      <c r="R130" s="11">
        <v>46053</v>
      </c>
      <c r="S130" s="11">
        <v>46081</v>
      </c>
      <c r="T130" s="15">
        <v>46112</v>
      </c>
      <c r="U130" s="11"/>
      <c r="V130" s="11"/>
      <c r="W130" s="8"/>
      <c r="X130" s="8"/>
      <c r="Y130" s="8"/>
      <c r="Z130" s="11"/>
      <c r="AA130" s="8"/>
      <c r="AB130" s="8"/>
      <c r="AC130" s="8"/>
      <c r="AD130" s="11"/>
      <c r="AE130" s="11"/>
      <c r="AF130" s="11"/>
      <c r="AG130" s="11"/>
      <c r="AH130" s="11"/>
      <c r="AI130" s="11">
        <f t="shared" si="10"/>
        <v>46112</v>
      </c>
    </row>
    <row r="131" spans="1:35" s="16" customFormat="1" ht="16.95" customHeight="1" x14ac:dyDescent="0.3">
      <c r="A131" s="6">
        <f t="shared" si="12"/>
        <v>140</v>
      </c>
      <c r="B131" s="7" t="s">
        <v>763</v>
      </c>
      <c r="C131" s="8" t="s">
        <v>764</v>
      </c>
      <c r="D131" s="9" t="s">
        <v>765</v>
      </c>
      <c r="E131" s="8" t="s">
        <v>145</v>
      </c>
      <c r="F131" s="8" t="s">
        <v>329</v>
      </c>
      <c r="G131" s="10" t="s">
        <v>766</v>
      </c>
      <c r="H131" s="11" t="s">
        <v>50</v>
      </c>
      <c r="I131" s="11" t="s">
        <v>50</v>
      </c>
      <c r="J131" s="11" t="s">
        <v>50</v>
      </c>
      <c r="K131" s="11" t="s">
        <v>43</v>
      </c>
      <c r="L131" s="12">
        <v>3500</v>
      </c>
      <c r="M131" s="13">
        <v>0</v>
      </c>
      <c r="N131" s="13">
        <v>0</v>
      </c>
      <c r="O131" s="14">
        <v>45390</v>
      </c>
      <c r="P131" s="11">
        <v>45473</v>
      </c>
      <c r="Q131" s="11">
        <v>45565</v>
      </c>
      <c r="R131" s="11">
        <v>45657</v>
      </c>
      <c r="S131" s="11">
        <v>45747</v>
      </c>
      <c r="T131" s="15">
        <v>45838</v>
      </c>
      <c r="U131" s="11">
        <v>45930</v>
      </c>
      <c r="V131" s="11">
        <v>46022</v>
      </c>
      <c r="W131" s="11">
        <v>46081</v>
      </c>
      <c r="X131" s="11">
        <v>46112</v>
      </c>
      <c r="Y131" s="8"/>
      <c r="Z131" s="11"/>
      <c r="AA131" s="8"/>
      <c r="AB131" s="8"/>
      <c r="AC131" s="8"/>
      <c r="AD131" s="11"/>
      <c r="AE131" s="11"/>
      <c r="AF131" s="11"/>
      <c r="AG131" s="11"/>
      <c r="AH131" s="11"/>
      <c r="AI131" s="11">
        <f t="shared" ref="AI131:AI152" si="13">+MAX(O131:AH131)</f>
        <v>46112</v>
      </c>
    </row>
    <row r="132" spans="1:35" s="16" customFormat="1" ht="16.95" customHeight="1" x14ac:dyDescent="0.3">
      <c r="A132" s="6">
        <f t="shared" si="12"/>
        <v>141</v>
      </c>
      <c r="B132" s="7" t="s">
        <v>767</v>
      </c>
      <c r="C132" s="8" t="s">
        <v>768</v>
      </c>
      <c r="D132" s="9" t="s">
        <v>769</v>
      </c>
      <c r="E132" s="8" t="s">
        <v>599</v>
      </c>
      <c r="F132" s="8" t="s">
        <v>770</v>
      </c>
      <c r="G132" s="10" t="s">
        <v>771</v>
      </c>
      <c r="H132" s="11" t="s">
        <v>772</v>
      </c>
      <c r="I132" s="11" t="s">
        <v>773</v>
      </c>
      <c r="J132" s="11" t="s">
        <v>774</v>
      </c>
      <c r="K132" s="11" t="s">
        <v>43</v>
      </c>
      <c r="L132" s="12">
        <v>6000</v>
      </c>
      <c r="M132" s="13">
        <v>800</v>
      </c>
      <c r="N132" s="13">
        <v>800</v>
      </c>
      <c r="O132" s="14">
        <v>45845</v>
      </c>
      <c r="P132" s="11">
        <v>45930</v>
      </c>
      <c r="Q132" s="11">
        <v>46022</v>
      </c>
      <c r="R132" s="11">
        <v>46112</v>
      </c>
      <c r="S132" s="11"/>
      <c r="T132" s="17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1">
        <f t="shared" si="13"/>
        <v>46112</v>
      </c>
    </row>
    <row r="133" spans="1:35" s="16" customFormat="1" ht="16.95" customHeight="1" x14ac:dyDescent="0.3">
      <c r="A133" s="6">
        <f t="shared" si="12"/>
        <v>142</v>
      </c>
      <c r="B133" s="7" t="s">
        <v>775</v>
      </c>
      <c r="C133" s="8" t="s">
        <v>776</v>
      </c>
      <c r="D133" s="9" t="s">
        <v>777</v>
      </c>
      <c r="E133" s="8" t="s">
        <v>84</v>
      </c>
      <c r="F133" s="8" t="s">
        <v>48</v>
      </c>
      <c r="G133" s="10" t="s">
        <v>778</v>
      </c>
      <c r="H133" s="11" t="s">
        <v>779</v>
      </c>
      <c r="I133" s="11" t="s">
        <v>73</v>
      </c>
      <c r="J133" s="11" t="s">
        <v>73</v>
      </c>
      <c r="K133" s="11" t="s">
        <v>43</v>
      </c>
      <c r="L133" s="12">
        <v>4500</v>
      </c>
      <c r="M133" s="13">
        <v>500</v>
      </c>
      <c r="N133" s="13">
        <v>500</v>
      </c>
      <c r="O133" s="14">
        <v>45831</v>
      </c>
      <c r="P133" s="11">
        <v>45930</v>
      </c>
      <c r="Q133" s="11">
        <v>46022</v>
      </c>
      <c r="R133" s="11">
        <v>46081</v>
      </c>
      <c r="S133" s="11">
        <v>46112</v>
      </c>
      <c r="T133" s="15"/>
      <c r="U133" s="11"/>
      <c r="V133" s="11"/>
      <c r="W133" s="8"/>
      <c r="X133" s="8"/>
      <c r="Y133" s="8"/>
      <c r="Z133" s="11"/>
      <c r="AA133" s="8"/>
      <c r="AB133" s="8"/>
      <c r="AC133" s="8"/>
      <c r="AD133" s="11"/>
      <c r="AE133" s="11"/>
      <c r="AF133" s="11"/>
      <c r="AG133" s="11"/>
      <c r="AH133" s="11"/>
      <c r="AI133" s="11">
        <f t="shared" si="13"/>
        <v>46112</v>
      </c>
    </row>
    <row r="134" spans="1:35" s="16" customFormat="1" ht="16.95" customHeight="1" x14ac:dyDescent="0.3">
      <c r="A134" s="6">
        <f t="shared" si="12"/>
        <v>143</v>
      </c>
      <c r="B134" s="7" t="s">
        <v>780</v>
      </c>
      <c r="C134" s="8" t="s">
        <v>781</v>
      </c>
      <c r="D134" s="9" t="s">
        <v>782</v>
      </c>
      <c r="E134" s="8" t="s">
        <v>783</v>
      </c>
      <c r="F134" s="8" t="s">
        <v>70</v>
      </c>
      <c r="G134" s="10" t="s">
        <v>784</v>
      </c>
      <c r="H134" s="11" t="s">
        <v>629</v>
      </c>
      <c r="I134" s="11" t="s">
        <v>73</v>
      </c>
      <c r="J134" s="11" t="s">
        <v>73</v>
      </c>
      <c r="K134" s="11" t="s">
        <v>51</v>
      </c>
      <c r="L134" s="12">
        <v>4500</v>
      </c>
      <c r="M134" s="13">
        <v>800</v>
      </c>
      <c r="N134" s="13">
        <v>800</v>
      </c>
      <c r="O134" s="14">
        <v>45833</v>
      </c>
      <c r="P134" s="11">
        <v>45930</v>
      </c>
      <c r="Q134" s="11">
        <v>46022</v>
      </c>
      <c r="R134" s="11">
        <v>46112</v>
      </c>
      <c r="S134" s="11"/>
      <c r="T134" s="17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1">
        <f t="shared" si="13"/>
        <v>46112</v>
      </c>
    </row>
    <row r="135" spans="1:35" s="16" customFormat="1" ht="16.95" customHeight="1" x14ac:dyDescent="0.3">
      <c r="A135" s="6">
        <f t="shared" si="12"/>
        <v>144</v>
      </c>
      <c r="B135" s="7" t="s">
        <v>785</v>
      </c>
      <c r="C135" s="8" t="s">
        <v>786</v>
      </c>
      <c r="D135" s="9" t="s">
        <v>787</v>
      </c>
      <c r="E135" s="8" t="s">
        <v>788</v>
      </c>
      <c r="F135" s="8" t="s">
        <v>48</v>
      </c>
      <c r="G135" s="10" t="s">
        <v>789</v>
      </c>
      <c r="H135" s="11" t="s">
        <v>790</v>
      </c>
      <c r="I135" s="11" t="s">
        <v>73</v>
      </c>
      <c r="J135" s="11" t="s">
        <v>73</v>
      </c>
      <c r="K135" s="11" t="s">
        <v>51</v>
      </c>
      <c r="L135" s="12">
        <v>17000</v>
      </c>
      <c r="M135" s="13">
        <v>800</v>
      </c>
      <c r="N135" s="13">
        <v>800</v>
      </c>
      <c r="O135" s="14">
        <v>45803</v>
      </c>
      <c r="P135" s="11">
        <v>45991</v>
      </c>
      <c r="Q135" s="11">
        <v>46081</v>
      </c>
      <c r="R135" s="11">
        <v>46173</v>
      </c>
      <c r="S135" s="11"/>
      <c r="T135" s="15"/>
      <c r="U135" s="11"/>
      <c r="V135" s="11"/>
      <c r="W135" s="8"/>
      <c r="X135" s="8"/>
      <c r="Y135" s="8"/>
      <c r="Z135" s="11"/>
      <c r="AA135" s="8"/>
      <c r="AB135" s="8"/>
      <c r="AC135" s="8"/>
      <c r="AD135" s="11"/>
      <c r="AE135" s="11"/>
      <c r="AF135" s="11"/>
      <c r="AG135" s="11"/>
      <c r="AH135" s="11"/>
      <c r="AI135" s="11">
        <f t="shared" si="13"/>
        <v>46173</v>
      </c>
    </row>
    <row r="136" spans="1:35" s="16" customFormat="1" ht="16.95" customHeight="1" x14ac:dyDescent="0.3">
      <c r="A136" s="6">
        <f t="shared" si="12"/>
        <v>145</v>
      </c>
      <c r="B136" s="7" t="s">
        <v>791</v>
      </c>
      <c r="C136" s="8" t="s">
        <v>792</v>
      </c>
      <c r="D136" s="9" t="s">
        <v>793</v>
      </c>
      <c r="E136" s="8" t="s">
        <v>61</v>
      </c>
      <c r="F136" s="8" t="s">
        <v>62</v>
      </c>
      <c r="G136" s="10" t="s">
        <v>794</v>
      </c>
      <c r="H136" s="11" t="s">
        <v>50</v>
      </c>
      <c r="I136" s="11" t="s">
        <v>50</v>
      </c>
      <c r="J136" s="11" t="s">
        <v>50</v>
      </c>
      <c r="K136" s="11" t="s">
        <v>43</v>
      </c>
      <c r="L136" s="12">
        <v>4000</v>
      </c>
      <c r="M136" s="13">
        <v>0</v>
      </c>
      <c r="N136" s="13">
        <v>0</v>
      </c>
      <c r="O136" s="14">
        <v>45968</v>
      </c>
      <c r="P136" s="11">
        <v>46022</v>
      </c>
      <c r="Q136" s="11">
        <v>46081</v>
      </c>
      <c r="R136" s="11">
        <v>46112</v>
      </c>
      <c r="S136" s="11"/>
      <c r="T136" s="15"/>
      <c r="U136" s="11"/>
      <c r="V136" s="11"/>
      <c r="W136" s="11"/>
      <c r="X136" s="11"/>
      <c r="Y136" s="11"/>
      <c r="Z136" s="11"/>
      <c r="AA136" s="8"/>
      <c r="AB136" s="8"/>
      <c r="AC136" s="8"/>
      <c r="AD136" s="11"/>
      <c r="AE136" s="11"/>
      <c r="AF136" s="11"/>
      <c r="AG136" s="11"/>
      <c r="AH136" s="11"/>
      <c r="AI136" s="11">
        <f t="shared" si="13"/>
        <v>46112</v>
      </c>
    </row>
    <row r="137" spans="1:35" s="16" customFormat="1" ht="16.95" customHeight="1" x14ac:dyDescent="0.3">
      <c r="A137" s="6">
        <f t="shared" si="12"/>
        <v>146</v>
      </c>
      <c r="B137" s="7" t="s">
        <v>795</v>
      </c>
      <c r="C137" s="8" t="s">
        <v>796</v>
      </c>
      <c r="D137" s="9" t="s">
        <v>797</v>
      </c>
      <c r="E137" s="8" t="s">
        <v>798</v>
      </c>
      <c r="F137" s="8" t="s">
        <v>770</v>
      </c>
      <c r="G137" s="10" t="s">
        <v>799</v>
      </c>
      <c r="H137" s="11" t="s">
        <v>800</v>
      </c>
      <c r="I137" s="11" t="s">
        <v>662</v>
      </c>
      <c r="J137" s="11" t="s">
        <v>662</v>
      </c>
      <c r="K137" s="11" t="s">
        <v>51</v>
      </c>
      <c r="L137" s="12">
        <v>5500</v>
      </c>
      <c r="M137" s="13">
        <v>800</v>
      </c>
      <c r="N137" s="13">
        <v>800</v>
      </c>
      <c r="O137" s="14">
        <v>45952</v>
      </c>
      <c r="P137" s="11">
        <v>46053</v>
      </c>
      <c r="Q137" s="11">
        <v>46142</v>
      </c>
      <c r="R137" s="11"/>
      <c r="S137" s="11"/>
      <c r="T137" s="15"/>
      <c r="U137" s="11"/>
      <c r="V137" s="11"/>
      <c r="W137" s="11"/>
      <c r="X137" s="11"/>
      <c r="Y137" s="11"/>
      <c r="Z137" s="11"/>
      <c r="AA137" s="8"/>
      <c r="AB137" s="8"/>
      <c r="AC137" s="8"/>
      <c r="AD137" s="11"/>
      <c r="AE137" s="11"/>
      <c r="AF137" s="11"/>
      <c r="AG137" s="11"/>
      <c r="AH137" s="11"/>
      <c r="AI137" s="11">
        <f t="shared" si="13"/>
        <v>46142</v>
      </c>
    </row>
    <row r="138" spans="1:35" s="16" customFormat="1" ht="16.95" customHeight="1" x14ac:dyDescent="0.3">
      <c r="A138" s="6">
        <f t="shared" si="12"/>
        <v>147</v>
      </c>
      <c r="B138" s="7" t="s">
        <v>801</v>
      </c>
      <c r="C138" s="8" t="s">
        <v>802</v>
      </c>
      <c r="D138" s="9" t="s">
        <v>803</v>
      </c>
      <c r="E138" s="8" t="s">
        <v>804</v>
      </c>
      <c r="F138" s="8" t="s">
        <v>197</v>
      </c>
      <c r="G138" s="10" t="s">
        <v>805</v>
      </c>
      <c r="H138" s="11" t="s">
        <v>371</v>
      </c>
      <c r="I138" s="11" t="s">
        <v>50</v>
      </c>
      <c r="J138" s="11" t="s">
        <v>50</v>
      </c>
      <c r="K138" s="11" t="s">
        <v>43</v>
      </c>
      <c r="L138" s="12">
        <v>1800</v>
      </c>
      <c r="M138" s="13">
        <v>375</v>
      </c>
      <c r="N138" s="13">
        <v>0</v>
      </c>
      <c r="O138" s="14">
        <v>45204</v>
      </c>
      <c r="P138" s="11">
        <v>45291</v>
      </c>
      <c r="Q138" s="11">
        <v>45473</v>
      </c>
      <c r="R138" s="11">
        <v>45565</v>
      </c>
      <c r="S138" s="11">
        <v>45657</v>
      </c>
      <c r="T138" s="17">
        <v>45382</v>
      </c>
      <c r="U138" s="18">
        <v>45747</v>
      </c>
      <c r="V138" s="18">
        <v>45838</v>
      </c>
      <c r="W138" s="11">
        <v>45930</v>
      </c>
      <c r="X138" s="11">
        <v>46022</v>
      </c>
      <c r="Y138" s="11">
        <v>46112</v>
      </c>
      <c r="Z138" s="11"/>
      <c r="AA138" s="18"/>
      <c r="AB138" s="18"/>
      <c r="AC138" s="18"/>
      <c r="AD138" s="18"/>
      <c r="AE138" s="18"/>
      <c r="AF138" s="18"/>
      <c r="AG138" s="18"/>
      <c r="AH138" s="18"/>
      <c r="AI138" s="11">
        <f t="shared" si="13"/>
        <v>46112</v>
      </c>
    </row>
    <row r="139" spans="1:35" s="16" customFormat="1" ht="16.95" customHeight="1" x14ac:dyDescent="0.3">
      <c r="A139" s="6">
        <f t="shared" si="12"/>
        <v>148</v>
      </c>
      <c r="B139" s="7" t="s">
        <v>806</v>
      </c>
      <c r="C139" s="8" t="s">
        <v>807</v>
      </c>
      <c r="D139" s="9" t="s">
        <v>808</v>
      </c>
      <c r="E139" s="8" t="s">
        <v>809</v>
      </c>
      <c r="F139" s="8" t="s">
        <v>56</v>
      </c>
      <c r="G139" s="10" t="s">
        <v>810</v>
      </c>
      <c r="H139" s="11" t="s">
        <v>811</v>
      </c>
      <c r="I139" s="11" t="s">
        <v>811</v>
      </c>
      <c r="J139" s="11" t="s">
        <v>159</v>
      </c>
      <c r="K139" s="11" t="s">
        <v>43</v>
      </c>
      <c r="L139" s="12">
        <v>6500</v>
      </c>
      <c r="M139" s="13">
        <v>800</v>
      </c>
      <c r="N139" s="13">
        <v>1200</v>
      </c>
      <c r="O139" s="14">
        <v>45139</v>
      </c>
      <c r="P139" s="11">
        <v>45230</v>
      </c>
      <c r="Q139" s="11">
        <v>45260</v>
      </c>
      <c r="R139" s="11">
        <v>45443</v>
      </c>
      <c r="S139" s="11">
        <v>45535</v>
      </c>
      <c r="T139" s="15">
        <v>45351</v>
      </c>
      <c r="U139" s="11">
        <v>45626</v>
      </c>
      <c r="V139" s="11">
        <v>45716</v>
      </c>
      <c r="W139" s="11">
        <v>45808</v>
      </c>
      <c r="X139" s="11">
        <v>45900</v>
      </c>
      <c r="Y139" s="11">
        <v>45991</v>
      </c>
      <c r="Z139" s="11">
        <v>46081</v>
      </c>
      <c r="AA139" s="11">
        <v>46112</v>
      </c>
      <c r="AB139" s="8"/>
      <c r="AC139" s="8"/>
      <c r="AD139" s="11"/>
      <c r="AE139" s="11"/>
      <c r="AF139" s="11"/>
      <c r="AG139" s="11"/>
      <c r="AH139" s="11"/>
      <c r="AI139" s="11">
        <f t="shared" si="13"/>
        <v>46112</v>
      </c>
    </row>
    <row r="140" spans="1:35" s="16" customFormat="1" ht="16.95" customHeight="1" x14ac:dyDescent="0.3">
      <c r="A140" s="6">
        <f t="shared" si="12"/>
        <v>149</v>
      </c>
      <c r="B140" s="7" t="s">
        <v>812</v>
      </c>
      <c r="C140" s="8" t="s">
        <v>813</v>
      </c>
      <c r="D140" s="9" t="s">
        <v>814</v>
      </c>
      <c r="E140" s="8" t="s">
        <v>61</v>
      </c>
      <c r="F140" s="8" t="s">
        <v>62</v>
      </c>
      <c r="G140" s="10" t="s">
        <v>815</v>
      </c>
      <c r="H140" s="11" t="s">
        <v>186</v>
      </c>
      <c r="I140" s="11" t="s">
        <v>50</v>
      </c>
      <c r="J140" s="11" t="s">
        <v>50</v>
      </c>
      <c r="K140" s="11" t="s">
        <v>43</v>
      </c>
      <c r="L140" s="12">
        <v>3900</v>
      </c>
      <c r="M140" s="13">
        <v>500</v>
      </c>
      <c r="N140" s="13">
        <v>500</v>
      </c>
      <c r="O140" s="14">
        <v>45782</v>
      </c>
      <c r="P140" s="11">
        <v>45869</v>
      </c>
      <c r="Q140" s="11">
        <v>45961</v>
      </c>
      <c r="R140" s="11">
        <v>46053</v>
      </c>
      <c r="S140" s="11">
        <v>46142</v>
      </c>
      <c r="T140" s="15"/>
      <c r="U140" s="11"/>
      <c r="V140" s="11"/>
      <c r="W140" s="11"/>
      <c r="X140" s="11"/>
      <c r="Y140" s="11"/>
      <c r="Z140" s="11"/>
      <c r="AA140" s="8"/>
      <c r="AB140" s="8"/>
      <c r="AC140" s="8"/>
      <c r="AD140" s="11"/>
      <c r="AE140" s="11"/>
      <c r="AF140" s="11"/>
      <c r="AG140" s="11"/>
      <c r="AH140" s="11"/>
      <c r="AI140" s="11">
        <f t="shared" si="13"/>
        <v>46142</v>
      </c>
    </row>
    <row r="141" spans="1:35" s="16" customFormat="1" ht="16.95" customHeight="1" x14ac:dyDescent="0.3">
      <c r="A141" s="6">
        <f t="shared" si="12"/>
        <v>150</v>
      </c>
      <c r="B141" s="7" t="s">
        <v>816</v>
      </c>
      <c r="C141" s="8" t="s">
        <v>817</v>
      </c>
      <c r="D141" s="9" t="s">
        <v>818</v>
      </c>
      <c r="E141" s="8" t="s">
        <v>819</v>
      </c>
      <c r="F141" s="8" t="s">
        <v>197</v>
      </c>
      <c r="G141" s="10" t="s">
        <v>820</v>
      </c>
      <c r="H141" s="11" t="s">
        <v>126</v>
      </c>
      <c r="I141" s="11" t="s">
        <v>126</v>
      </c>
      <c r="J141" s="11" t="s">
        <v>126</v>
      </c>
      <c r="K141" s="11" t="s">
        <v>147</v>
      </c>
      <c r="L141" s="12">
        <v>5000</v>
      </c>
      <c r="M141" s="13">
        <v>800</v>
      </c>
      <c r="N141" s="13">
        <v>800</v>
      </c>
      <c r="O141" s="14">
        <v>45998</v>
      </c>
      <c r="P141" s="11">
        <v>46081</v>
      </c>
      <c r="Q141" s="11">
        <v>46112</v>
      </c>
      <c r="R141" s="11"/>
      <c r="S141" s="11"/>
      <c r="T141" s="15"/>
      <c r="U141" s="11"/>
      <c r="V141" s="11"/>
      <c r="W141" s="11"/>
      <c r="X141" s="11"/>
      <c r="Y141" s="11"/>
      <c r="Z141" s="11"/>
      <c r="AA141" s="8"/>
      <c r="AB141" s="8"/>
      <c r="AC141" s="8"/>
      <c r="AD141" s="11"/>
      <c r="AE141" s="11"/>
      <c r="AF141" s="11"/>
      <c r="AG141" s="11"/>
      <c r="AH141" s="11"/>
      <c r="AI141" s="11">
        <f t="shared" si="13"/>
        <v>46112</v>
      </c>
    </row>
    <row r="142" spans="1:35" s="16" customFormat="1" ht="16.95" customHeight="1" x14ac:dyDescent="0.3">
      <c r="A142" s="6">
        <f t="shared" si="12"/>
        <v>151</v>
      </c>
      <c r="B142" s="7" t="s">
        <v>821</v>
      </c>
      <c r="C142" s="8" t="s">
        <v>822</v>
      </c>
      <c r="D142" s="9" t="s">
        <v>823</v>
      </c>
      <c r="E142" s="8" t="s">
        <v>824</v>
      </c>
      <c r="F142" s="8" t="s">
        <v>131</v>
      </c>
      <c r="G142" s="10" t="s">
        <v>825</v>
      </c>
      <c r="H142" s="11" t="s">
        <v>826</v>
      </c>
      <c r="I142" s="11" t="s">
        <v>125</v>
      </c>
      <c r="J142" s="11" t="s">
        <v>126</v>
      </c>
      <c r="K142" s="11" t="s">
        <v>51</v>
      </c>
      <c r="L142" s="12">
        <v>6000</v>
      </c>
      <c r="M142" s="13">
        <v>800</v>
      </c>
      <c r="N142" s="13">
        <v>800</v>
      </c>
      <c r="O142" s="14">
        <v>45658</v>
      </c>
      <c r="P142" s="11">
        <v>45747</v>
      </c>
      <c r="Q142" s="11">
        <v>45838</v>
      </c>
      <c r="R142" s="11">
        <v>45930</v>
      </c>
      <c r="S142" s="11">
        <v>46022</v>
      </c>
      <c r="T142" s="11">
        <v>46081</v>
      </c>
      <c r="U142" s="11">
        <v>46112</v>
      </c>
      <c r="V142" s="11"/>
      <c r="W142" s="11"/>
      <c r="X142" s="11"/>
      <c r="Y142" s="11"/>
      <c r="Z142" s="11"/>
      <c r="AA142" s="8"/>
      <c r="AB142" s="8"/>
      <c r="AC142" s="8"/>
      <c r="AD142" s="11"/>
      <c r="AE142" s="11"/>
      <c r="AF142" s="11"/>
      <c r="AG142" s="11"/>
      <c r="AH142" s="11"/>
      <c r="AI142" s="11">
        <f t="shared" si="13"/>
        <v>46112</v>
      </c>
    </row>
    <row r="143" spans="1:35" s="16" customFormat="1" ht="16.95" customHeight="1" x14ac:dyDescent="0.3">
      <c r="A143" s="6">
        <f t="shared" si="12"/>
        <v>152</v>
      </c>
      <c r="B143" s="7" t="s">
        <v>827</v>
      </c>
      <c r="C143" s="8" t="s">
        <v>828</v>
      </c>
      <c r="D143" s="9" t="s">
        <v>829</v>
      </c>
      <c r="E143" s="8" t="s">
        <v>798</v>
      </c>
      <c r="F143" s="8" t="s">
        <v>770</v>
      </c>
      <c r="G143" s="10" t="s">
        <v>830</v>
      </c>
      <c r="H143" s="11" t="s">
        <v>426</v>
      </c>
      <c r="I143" s="11" t="s">
        <v>125</v>
      </c>
      <c r="J143" s="11" t="s">
        <v>126</v>
      </c>
      <c r="K143" s="11" t="s">
        <v>51</v>
      </c>
      <c r="L143" s="12">
        <v>4700</v>
      </c>
      <c r="M143" s="13">
        <v>800</v>
      </c>
      <c r="N143" s="13">
        <v>800</v>
      </c>
      <c r="O143" s="14">
        <v>45627</v>
      </c>
      <c r="P143" s="11">
        <v>45688</v>
      </c>
      <c r="Q143" s="11">
        <v>45747</v>
      </c>
      <c r="R143" s="11">
        <v>45777</v>
      </c>
      <c r="S143" s="11">
        <v>45869</v>
      </c>
      <c r="T143" s="15">
        <v>45900</v>
      </c>
      <c r="U143" s="11">
        <v>45991</v>
      </c>
      <c r="V143" s="11">
        <v>46053</v>
      </c>
      <c r="W143" s="11">
        <v>46142</v>
      </c>
      <c r="X143" s="11">
        <v>46142</v>
      </c>
      <c r="Y143" s="8"/>
      <c r="Z143" s="11"/>
      <c r="AA143" s="8"/>
      <c r="AB143" s="8"/>
      <c r="AC143" s="8"/>
      <c r="AD143" s="11"/>
      <c r="AE143" s="11"/>
      <c r="AF143" s="11"/>
      <c r="AG143" s="11"/>
      <c r="AH143" s="11"/>
      <c r="AI143" s="11">
        <f t="shared" si="13"/>
        <v>46142</v>
      </c>
    </row>
    <row r="144" spans="1:35" s="16" customFormat="1" ht="16.95" customHeight="1" x14ac:dyDescent="0.3">
      <c r="A144" s="6">
        <f t="shared" si="12"/>
        <v>153</v>
      </c>
      <c r="B144" s="7" t="s">
        <v>831</v>
      </c>
      <c r="C144" s="8" t="s">
        <v>832</v>
      </c>
      <c r="D144" s="9" t="s">
        <v>833</v>
      </c>
      <c r="E144" s="8" t="s">
        <v>61</v>
      </c>
      <c r="F144" s="8" t="s">
        <v>62</v>
      </c>
      <c r="G144" s="10" t="s">
        <v>834</v>
      </c>
      <c r="H144" s="11" t="s">
        <v>835</v>
      </c>
      <c r="I144" s="11" t="s">
        <v>836</v>
      </c>
      <c r="J144" s="11" t="s">
        <v>65</v>
      </c>
      <c r="K144" s="11" t="s">
        <v>43</v>
      </c>
      <c r="L144" s="12">
        <v>4000</v>
      </c>
      <c r="M144" s="13">
        <v>500</v>
      </c>
      <c r="N144" s="13">
        <v>500</v>
      </c>
      <c r="O144" s="14">
        <v>45691</v>
      </c>
      <c r="P144" s="11">
        <v>45777</v>
      </c>
      <c r="Q144" s="11">
        <v>45869</v>
      </c>
      <c r="R144" s="11">
        <v>45961</v>
      </c>
      <c r="S144" s="11">
        <v>46053</v>
      </c>
      <c r="T144" s="15">
        <v>46142</v>
      </c>
      <c r="U144" s="11"/>
      <c r="V144" s="11"/>
      <c r="W144" s="8"/>
      <c r="X144" s="8"/>
      <c r="Y144" s="8"/>
      <c r="Z144" s="11"/>
      <c r="AA144" s="8"/>
      <c r="AB144" s="8"/>
      <c r="AC144" s="8"/>
      <c r="AD144" s="11"/>
      <c r="AE144" s="11"/>
      <c r="AF144" s="11"/>
      <c r="AG144" s="11"/>
      <c r="AH144" s="11"/>
      <c r="AI144" s="11">
        <f t="shared" si="13"/>
        <v>46142</v>
      </c>
    </row>
    <row r="145" spans="1:35" s="16" customFormat="1" ht="16.95" customHeight="1" x14ac:dyDescent="0.3">
      <c r="A145" s="6">
        <f t="shared" si="12"/>
        <v>154</v>
      </c>
      <c r="B145" s="7" t="s">
        <v>837</v>
      </c>
      <c r="C145" s="8" t="s">
        <v>838</v>
      </c>
      <c r="D145" s="9" t="s">
        <v>839</v>
      </c>
      <c r="E145" s="8" t="s">
        <v>574</v>
      </c>
      <c r="F145" s="8" t="s">
        <v>131</v>
      </c>
      <c r="G145" s="10" t="s">
        <v>840</v>
      </c>
      <c r="H145" s="11" t="s">
        <v>331</v>
      </c>
      <c r="I145" s="11" t="s">
        <v>331</v>
      </c>
      <c r="J145" s="11" t="s">
        <v>332</v>
      </c>
      <c r="K145" s="11" t="s">
        <v>43</v>
      </c>
      <c r="L145" s="12">
        <v>5000</v>
      </c>
      <c r="M145" s="13">
        <v>800</v>
      </c>
      <c r="N145" s="13">
        <v>800</v>
      </c>
      <c r="O145" s="14">
        <v>45600</v>
      </c>
      <c r="P145" s="11">
        <v>45688</v>
      </c>
      <c r="Q145" s="11">
        <v>45777</v>
      </c>
      <c r="R145" s="11">
        <v>45869</v>
      </c>
      <c r="S145" s="11">
        <v>45930</v>
      </c>
      <c r="T145" s="17">
        <v>46022</v>
      </c>
      <c r="U145" s="11">
        <v>46112</v>
      </c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1">
        <f t="shared" si="13"/>
        <v>46112</v>
      </c>
    </row>
    <row r="146" spans="1:35" s="16" customFormat="1" ht="16.95" customHeight="1" x14ac:dyDescent="0.3">
      <c r="A146" s="6">
        <f t="shared" si="12"/>
        <v>155</v>
      </c>
      <c r="B146" s="7" t="s">
        <v>841</v>
      </c>
      <c r="C146" s="8" t="s">
        <v>842</v>
      </c>
      <c r="D146" s="9" t="s">
        <v>843</v>
      </c>
      <c r="E146" s="8" t="s">
        <v>77</v>
      </c>
      <c r="F146" s="8" t="s">
        <v>78</v>
      </c>
      <c r="G146" s="10" t="s">
        <v>844</v>
      </c>
      <c r="H146" s="11" t="s">
        <v>616</v>
      </c>
      <c r="I146" s="11" t="s">
        <v>617</v>
      </c>
      <c r="J146" s="11" t="s">
        <v>618</v>
      </c>
      <c r="K146" s="11" t="s">
        <v>43</v>
      </c>
      <c r="L146" s="12">
        <v>3200</v>
      </c>
      <c r="M146" s="13">
        <v>800</v>
      </c>
      <c r="N146" s="13">
        <v>800</v>
      </c>
      <c r="O146" s="14">
        <v>45948</v>
      </c>
      <c r="P146" s="11">
        <v>46022</v>
      </c>
      <c r="Q146" s="11">
        <v>46053</v>
      </c>
      <c r="R146" s="11">
        <v>46081</v>
      </c>
      <c r="S146" s="11">
        <v>46089</v>
      </c>
      <c r="T146" s="15"/>
      <c r="U146" s="11"/>
      <c r="V146" s="11"/>
      <c r="W146" s="8"/>
      <c r="X146" s="8"/>
      <c r="Y146" s="8"/>
      <c r="Z146" s="11"/>
      <c r="AA146" s="8"/>
      <c r="AB146" s="8"/>
      <c r="AC146" s="8"/>
      <c r="AD146" s="11"/>
      <c r="AE146" s="11"/>
      <c r="AF146" s="11"/>
      <c r="AG146" s="11"/>
      <c r="AH146" s="11"/>
      <c r="AI146" s="11">
        <f t="shared" si="13"/>
        <v>46089</v>
      </c>
    </row>
    <row r="147" spans="1:35" s="16" customFormat="1" ht="16.95" customHeight="1" x14ac:dyDescent="0.3">
      <c r="A147" s="6">
        <f t="shared" si="12"/>
        <v>156</v>
      </c>
      <c r="B147" s="7" t="s">
        <v>845</v>
      </c>
      <c r="C147" s="8" t="s">
        <v>846</v>
      </c>
      <c r="D147" s="9" t="s">
        <v>847</v>
      </c>
      <c r="E147" s="8" t="s">
        <v>848</v>
      </c>
      <c r="F147" s="8" t="s">
        <v>179</v>
      </c>
      <c r="G147" s="10" t="s">
        <v>849</v>
      </c>
      <c r="H147" s="11" t="s">
        <v>186</v>
      </c>
      <c r="I147" s="11" t="s">
        <v>50</v>
      </c>
      <c r="J147" s="11" t="s">
        <v>50</v>
      </c>
      <c r="K147" s="11" t="s">
        <v>147</v>
      </c>
      <c r="L147" s="12">
        <v>1970</v>
      </c>
      <c r="M147" s="13"/>
      <c r="N147" s="13"/>
      <c r="O147" s="14">
        <v>46027</v>
      </c>
      <c r="P147" s="11">
        <v>46112</v>
      </c>
      <c r="Q147" s="11"/>
      <c r="R147" s="11"/>
      <c r="S147" s="11"/>
      <c r="T147" s="15"/>
      <c r="U147" s="11"/>
      <c r="V147" s="11"/>
      <c r="W147" s="8"/>
      <c r="X147" s="8"/>
      <c r="Y147" s="8"/>
      <c r="Z147" s="11"/>
      <c r="AA147" s="8"/>
      <c r="AB147" s="8"/>
      <c r="AC147" s="8"/>
      <c r="AD147" s="11"/>
      <c r="AE147" s="11"/>
      <c r="AF147" s="11"/>
      <c r="AG147" s="11"/>
      <c r="AH147" s="11"/>
      <c r="AI147" s="11">
        <f t="shared" si="13"/>
        <v>46112</v>
      </c>
    </row>
    <row r="148" spans="1:35" s="16" customFormat="1" ht="16.95" customHeight="1" x14ac:dyDescent="0.3">
      <c r="A148" s="6">
        <f t="shared" si="12"/>
        <v>157</v>
      </c>
      <c r="B148" s="7" t="s">
        <v>850</v>
      </c>
      <c r="C148" s="8" t="s">
        <v>851</v>
      </c>
      <c r="D148" s="9" t="s">
        <v>852</v>
      </c>
      <c r="E148" s="8" t="s">
        <v>440</v>
      </c>
      <c r="F148" s="8" t="s">
        <v>85</v>
      </c>
      <c r="G148" s="10" t="s">
        <v>853</v>
      </c>
      <c r="H148" s="11" t="s">
        <v>589</v>
      </c>
      <c r="I148" s="11" t="s">
        <v>590</v>
      </c>
      <c r="J148" s="11" t="s">
        <v>50</v>
      </c>
      <c r="K148" s="11" t="s">
        <v>43</v>
      </c>
      <c r="L148" s="22">
        <v>2000</v>
      </c>
      <c r="M148" s="13">
        <v>0</v>
      </c>
      <c r="N148" s="13">
        <v>0</v>
      </c>
      <c r="O148" s="14">
        <v>45925</v>
      </c>
      <c r="P148" s="11">
        <v>45961</v>
      </c>
      <c r="Q148" s="11">
        <v>45991</v>
      </c>
      <c r="R148" s="11">
        <v>46022</v>
      </c>
      <c r="S148" s="11">
        <v>46081</v>
      </c>
      <c r="T148" s="15">
        <v>46112</v>
      </c>
      <c r="U148" s="11"/>
      <c r="V148" s="11"/>
      <c r="W148" s="8"/>
      <c r="X148" s="8"/>
      <c r="Y148" s="8"/>
      <c r="Z148" s="11"/>
      <c r="AA148" s="8"/>
      <c r="AB148" s="8"/>
      <c r="AC148" s="8"/>
      <c r="AD148" s="11"/>
      <c r="AE148" s="11"/>
      <c r="AF148" s="11"/>
      <c r="AG148" s="11"/>
      <c r="AH148" s="11"/>
      <c r="AI148" s="11">
        <f t="shared" si="13"/>
        <v>46112</v>
      </c>
    </row>
    <row r="149" spans="1:35" s="16" customFormat="1" ht="16.95" customHeight="1" x14ac:dyDescent="0.3">
      <c r="A149" s="6">
        <f t="shared" si="12"/>
        <v>158</v>
      </c>
      <c r="B149" s="7" t="s">
        <v>854</v>
      </c>
      <c r="C149" s="8" t="s">
        <v>855</v>
      </c>
      <c r="D149" s="9" t="s">
        <v>856</v>
      </c>
      <c r="E149" s="8" t="s">
        <v>857</v>
      </c>
      <c r="F149" s="8" t="s">
        <v>264</v>
      </c>
      <c r="G149" s="10" t="s">
        <v>858</v>
      </c>
      <c r="H149" s="11" t="s">
        <v>50</v>
      </c>
      <c r="I149" s="11" t="s">
        <v>50</v>
      </c>
      <c r="J149" s="11" t="s">
        <v>50</v>
      </c>
      <c r="K149" s="11" t="s">
        <v>43</v>
      </c>
      <c r="L149" s="12">
        <v>2200</v>
      </c>
      <c r="M149" s="13">
        <v>200</v>
      </c>
      <c r="N149" s="13">
        <v>0</v>
      </c>
      <c r="O149" s="14">
        <v>45667</v>
      </c>
      <c r="P149" s="11">
        <v>45747</v>
      </c>
      <c r="Q149" s="11">
        <v>45838</v>
      </c>
      <c r="R149" s="11">
        <v>45838</v>
      </c>
      <c r="S149" s="11">
        <v>45930</v>
      </c>
      <c r="T149" s="17">
        <v>46022</v>
      </c>
      <c r="U149" s="11">
        <v>46112</v>
      </c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1">
        <f t="shared" si="13"/>
        <v>46112</v>
      </c>
    </row>
    <row r="150" spans="1:35" s="16" customFormat="1" ht="16.95" customHeight="1" x14ac:dyDescent="0.3">
      <c r="A150" s="6">
        <f t="shared" si="12"/>
        <v>159</v>
      </c>
      <c r="B150" s="7" t="s">
        <v>859</v>
      </c>
      <c r="C150" s="8" t="s">
        <v>860</v>
      </c>
      <c r="D150" s="9" t="s">
        <v>861</v>
      </c>
      <c r="E150" s="8" t="s">
        <v>862</v>
      </c>
      <c r="F150" s="8" t="s">
        <v>139</v>
      </c>
      <c r="G150" s="10" t="s">
        <v>863</v>
      </c>
      <c r="H150" s="11" t="s">
        <v>64</v>
      </c>
      <c r="I150" s="11" t="s">
        <v>65</v>
      </c>
      <c r="J150" s="11" t="s">
        <v>65</v>
      </c>
      <c r="K150" s="11" t="s">
        <v>43</v>
      </c>
      <c r="L150" s="12">
        <v>4000</v>
      </c>
      <c r="M150" s="13">
        <v>800</v>
      </c>
      <c r="N150" s="13">
        <v>800</v>
      </c>
      <c r="O150" s="14">
        <v>45931</v>
      </c>
      <c r="P150" s="11">
        <v>46022</v>
      </c>
      <c r="Q150" s="11">
        <v>46112</v>
      </c>
      <c r="R150" s="11"/>
      <c r="S150" s="11"/>
      <c r="T150" s="17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1">
        <f t="shared" si="13"/>
        <v>46112</v>
      </c>
    </row>
    <row r="151" spans="1:35" s="16" customFormat="1" ht="16.95" customHeight="1" x14ac:dyDescent="0.3">
      <c r="A151" s="6">
        <f t="shared" si="12"/>
        <v>160</v>
      </c>
      <c r="B151" s="7" t="s">
        <v>864</v>
      </c>
      <c r="C151" s="8" t="s">
        <v>865</v>
      </c>
      <c r="D151" s="9" t="s">
        <v>866</v>
      </c>
      <c r="E151" s="8" t="s">
        <v>61</v>
      </c>
      <c r="F151" s="8" t="s">
        <v>62</v>
      </c>
      <c r="G151" s="10" t="s">
        <v>867</v>
      </c>
      <c r="H151" s="11" t="s">
        <v>41</v>
      </c>
      <c r="I151" s="11" t="s">
        <v>50</v>
      </c>
      <c r="J151" s="11" t="s">
        <v>50</v>
      </c>
      <c r="K151" s="11" t="s">
        <v>43</v>
      </c>
      <c r="L151" s="12">
        <v>3300</v>
      </c>
      <c r="M151" s="13">
        <v>375</v>
      </c>
      <c r="N151" s="13">
        <v>0</v>
      </c>
      <c r="O151" s="14">
        <v>45139</v>
      </c>
      <c r="P151" s="11">
        <v>45230</v>
      </c>
      <c r="Q151" s="11">
        <v>45260</v>
      </c>
      <c r="R151" s="11">
        <v>45443</v>
      </c>
      <c r="S151" s="11">
        <v>45535</v>
      </c>
      <c r="T151" s="15">
        <v>45351</v>
      </c>
      <c r="U151" s="11">
        <v>45626</v>
      </c>
      <c r="V151" s="11">
        <v>45716</v>
      </c>
      <c r="W151" s="11">
        <v>45808</v>
      </c>
      <c r="X151" s="11">
        <v>45900</v>
      </c>
      <c r="Y151" s="11">
        <v>45961</v>
      </c>
      <c r="Z151" s="11">
        <v>46053</v>
      </c>
      <c r="AA151" s="11">
        <v>46142</v>
      </c>
      <c r="AB151" s="8"/>
      <c r="AC151" s="8"/>
      <c r="AD151" s="11"/>
      <c r="AE151" s="11"/>
      <c r="AF151" s="11"/>
      <c r="AG151" s="11"/>
      <c r="AH151" s="11"/>
      <c r="AI151" s="11">
        <f t="shared" si="13"/>
        <v>46142</v>
      </c>
    </row>
    <row r="152" spans="1:35" s="16" customFormat="1" ht="16.95" customHeight="1" x14ac:dyDescent="0.3">
      <c r="A152" s="6">
        <f t="shared" si="12"/>
        <v>161</v>
      </c>
      <c r="B152" s="7" t="s">
        <v>868</v>
      </c>
      <c r="C152" s="8" t="s">
        <v>869</v>
      </c>
      <c r="D152" s="9" t="s">
        <v>870</v>
      </c>
      <c r="E152" s="8" t="s">
        <v>599</v>
      </c>
      <c r="F152" s="8" t="s">
        <v>871</v>
      </c>
      <c r="G152" s="10" t="s">
        <v>872</v>
      </c>
      <c r="H152" s="11" t="s">
        <v>519</v>
      </c>
      <c r="I152" s="11" t="s">
        <v>73</v>
      </c>
      <c r="J152" s="11" t="s">
        <v>73</v>
      </c>
      <c r="K152" s="11" t="s">
        <v>43</v>
      </c>
      <c r="L152" s="12">
        <v>4500</v>
      </c>
      <c r="M152" s="13">
        <v>500</v>
      </c>
      <c r="N152" s="13">
        <v>500</v>
      </c>
      <c r="O152" s="14">
        <v>45950</v>
      </c>
      <c r="P152" s="11">
        <v>46022</v>
      </c>
      <c r="Q152" s="11">
        <v>46053</v>
      </c>
      <c r="R152" s="11">
        <v>46081</v>
      </c>
      <c r="S152" s="11"/>
      <c r="T152" s="15"/>
      <c r="U152" s="11"/>
      <c r="V152" s="11"/>
      <c r="W152" s="11"/>
      <c r="X152" s="11"/>
      <c r="Y152" s="11"/>
      <c r="Z152" s="11"/>
      <c r="AA152" s="11"/>
      <c r="AB152" s="11"/>
      <c r="AC152" s="8"/>
      <c r="AD152" s="11"/>
      <c r="AE152" s="11"/>
      <c r="AF152" s="11"/>
      <c r="AG152" s="11"/>
      <c r="AH152" s="11"/>
      <c r="AI152" s="11">
        <f t="shared" si="13"/>
        <v>46081</v>
      </c>
    </row>
    <row r="153" spans="1:35" s="16" customFormat="1" ht="16.95" customHeight="1" x14ac:dyDescent="0.3">
      <c r="A153" s="6">
        <f>Liquidados!A297+1</f>
        <v>164</v>
      </c>
      <c r="B153" s="7" t="s">
        <v>873</v>
      </c>
      <c r="C153" s="8" t="s">
        <v>874</v>
      </c>
      <c r="D153" s="9" t="s">
        <v>875</v>
      </c>
      <c r="E153" s="8" t="s">
        <v>876</v>
      </c>
      <c r="F153" s="8" t="s">
        <v>131</v>
      </c>
      <c r="G153" s="10" t="s">
        <v>877</v>
      </c>
      <c r="H153" s="11" t="s">
        <v>255</v>
      </c>
      <c r="I153" s="11" t="s">
        <v>255</v>
      </c>
      <c r="J153" s="11" t="s">
        <v>255</v>
      </c>
      <c r="K153" s="11" t="s">
        <v>51</v>
      </c>
      <c r="L153" s="12">
        <v>9000</v>
      </c>
      <c r="M153" s="13">
        <v>1000</v>
      </c>
      <c r="N153" s="13">
        <v>900</v>
      </c>
      <c r="O153" s="14">
        <v>45159</v>
      </c>
      <c r="P153" s="11">
        <v>45260</v>
      </c>
      <c r="Q153" s="11">
        <v>45443</v>
      </c>
      <c r="R153" s="11">
        <v>45535</v>
      </c>
      <c r="S153" s="11">
        <v>45626</v>
      </c>
      <c r="T153" s="15">
        <v>45351</v>
      </c>
      <c r="U153" s="11">
        <v>45716</v>
      </c>
      <c r="V153" s="11">
        <v>45808</v>
      </c>
      <c r="W153" s="11">
        <v>45900</v>
      </c>
      <c r="X153" s="11">
        <v>45991</v>
      </c>
      <c r="Y153" s="11">
        <v>46081</v>
      </c>
      <c r="Z153" s="11">
        <v>46112</v>
      </c>
      <c r="AA153" s="11"/>
      <c r="AB153" s="11"/>
      <c r="AC153" s="8"/>
      <c r="AD153" s="11"/>
      <c r="AE153" s="11"/>
      <c r="AF153" s="11"/>
      <c r="AG153" s="11"/>
      <c r="AH153" s="11"/>
      <c r="AI153" s="11">
        <f t="shared" ref="AI153:AI172" si="14">+MAX(O153:AH153)</f>
        <v>46112</v>
      </c>
    </row>
    <row r="154" spans="1:35" s="16" customFormat="1" ht="16.95" customHeight="1" x14ac:dyDescent="0.3">
      <c r="A154" s="6">
        <f t="shared" ref="A154:A172" si="15">A153+1</f>
        <v>165</v>
      </c>
      <c r="B154" s="7" t="s">
        <v>878</v>
      </c>
      <c r="C154" s="8" t="s">
        <v>879</v>
      </c>
      <c r="D154" s="9" t="s">
        <v>880</v>
      </c>
      <c r="E154" s="8" t="s">
        <v>61</v>
      </c>
      <c r="F154" s="8" t="s">
        <v>62</v>
      </c>
      <c r="G154" s="10" t="s">
        <v>881</v>
      </c>
      <c r="H154" s="11" t="s">
        <v>41</v>
      </c>
      <c r="I154" s="11" t="s">
        <v>50</v>
      </c>
      <c r="J154" s="11" t="s">
        <v>50</v>
      </c>
      <c r="K154" s="11" t="s">
        <v>43</v>
      </c>
      <c r="L154" s="12">
        <v>3500</v>
      </c>
      <c r="M154" s="13">
        <v>375</v>
      </c>
      <c r="N154" s="13">
        <v>0</v>
      </c>
      <c r="O154" s="14">
        <v>45850</v>
      </c>
      <c r="P154" s="11">
        <v>45930</v>
      </c>
      <c r="Q154" s="11">
        <v>45991</v>
      </c>
      <c r="R154" s="11">
        <v>46053</v>
      </c>
      <c r="S154" s="11">
        <v>46142</v>
      </c>
      <c r="T154" s="15"/>
      <c r="U154" s="11"/>
      <c r="V154" s="11"/>
      <c r="W154" s="11"/>
      <c r="X154" s="11"/>
      <c r="Y154" s="11"/>
      <c r="Z154" s="11"/>
      <c r="AA154" s="11"/>
      <c r="AB154" s="11"/>
      <c r="AC154" s="8"/>
      <c r="AD154" s="11"/>
      <c r="AE154" s="11"/>
      <c r="AF154" s="11"/>
      <c r="AG154" s="11"/>
      <c r="AH154" s="11"/>
      <c r="AI154" s="11">
        <f t="shared" si="14"/>
        <v>46142</v>
      </c>
    </row>
    <row r="155" spans="1:35" s="16" customFormat="1" ht="16.95" customHeight="1" x14ac:dyDescent="0.3">
      <c r="A155" s="6">
        <f t="shared" si="15"/>
        <v>166</v>
      </c>
      <c r="B155" s="7" t="s">
        <v>882</v>
      </c>
      <c r="C155" s="8" t="s">
        <v>883</v>
      </c>
      <c r="D155" s="9" t="s">
        <v>884</v>
      </c>
      <c r="E155" s="8" t="s">
        <v>804</v>
      </c>
      <c r="F155" s="8" t="s">
        <v>885</v>
      </c>
      <c r="G155" s="10" t="s">
        <v>886</v>
      </c>
      <c r="H155" s="11" t="s">
        <v>887</v>
      </c>
      <c r="I155" s="11" t="s">
        <v>50</v>
      </c>
      <c r="J155" s="11" t="s">
        <v>50</v>
      </c>
      <c r="K155" s="11" t="s">
        <v>43</v>
      </c>
      <c r="L155" s="12">
        <v>1800</v>
      </c>
      <c r="M155" s="13">
        <v>375</v>
      </c>
      <c r="N155" s="13">
        <v>0</v>
      </c>
      <c r="O155" s="14">
        <v>45204</v>
      </c>
      <c r="P155" s="11">
        <v>45291</v>
      </c>
      <c r="Q155" s="11">
        <v>45473</v>
      </c>
      <c r="R155" s="11">
        <v>45565</v>
      </c>
      <c r="S155" s="11">
        <v>45657</v>
      </c>
      <c r="T155" s="17">
        <v>45382</v>
      </c>
      <c r="U155" s="11">
        <v>45747</v>
      </c>
      <c r="V155" s="11">
        <v>45838</v>
      </c>
      <c r="W155" s="11">
        <v>45930</v>
      </c>
      <c r="X155" s="11">
        <v>46022</v>
      </c>
      <c r="Y155" s="11">
        <v>46112</v>
      </c>
      <c r="Z155" s="11"/>
      <c r="AA155" s="11"/>
      <c r="AB155" s="11"/>
      <c r="AC155" s="18"/>
      <c r="AD155" s="18"/>
      <c r="AE155" s="18"/>
      <c r="AF155" s="18"/>
      <c r="AG155" s="18"/>
      <c r="AH155" s="18"/>
      <c r="AI155" s="11">
        <f t="shared" si="14"/>
        <v>46112</v>
      </c>
    </row>
    <row r="156" spans="1:35" s="16" customFormat="1" ht="16.95" customHeight="1" x14ac:dyDescent="0.3">
      <c r="A156" s="6">
        <f t="shared" si="15"/>
        <v>167</v>
      </c>
      <c r="B156" s="7">
        <v>72686304</v>
      </c>
      <c r="C156" s="8" t="s">
        <v>888</v>
      </c>
      <c r="D156" s="19" t="s">
        <v>889</v>
      </c>
      <c r="E156" s="8" t="s">
        <v>890</v>
      </c>
      <c r="F156" s="8" t="s">
        <v>62</v>
      </c>
      <c r="G156" s="10" t="s">
        <v>891</v>
      </c>
      <c r="H156" s="11" t="s">
        <v>125</v>
      </c>
      <c r="I156" s="11" t="s">
        <v>125</v>
      </c>
      <c r="J156" s="11" t="s">
        <v>126</v>
      </c>
      <c r="K156" s="11" t="s">
        <v>147</v>
      </c>
      <c r="L156" s="12">
        <v>10600</v>
      </c>
      <c r="M156" s="13">
        <v>800</v>
      </c>
      <c r="N156" s="13">
        <v>800</v>
      </c>
      <c r="O156" s="14">
        <v>46031</v>
      </c>
      <c r="P156" s="11">
        <v>46142</v>
      </c>
      <c r="Q156" s="11"/>
      <c r="R156" s="11"/>
      <c r="S156" s="11"/>
      <c r="T156" s="15"/>
      <c r="U156" s="11"/>
      <c r="V156" s="11"/>
      <c r="W156" s="11"/>
      <c r="X156" s="11"/>
      <c r="Y156" s="11"/>
      <c r="Z156" s="11"/>
      <c r="AA156" s="11"/>
      <c r="AB156" s="11"/>
      <c r="AC156" s="8"/>
      <c r="AD156" s="11"/>
      <c r="AE156" s="11"/>
      <c r="AF156" s="11"/>
      <c r="AG156" s="11"/>
      <c r="AH156" s="11"/>
      <c r="AI156" s="11">
        <f t="shared" si="14"/>
        <v>46142</v>
      </c>
    </row>
    <row r="157" spans="1:35" s="16" customFormat="1" ht="16.95" customHeight="1" x14ac:dyDescent="0.3">
      <c r="A157" s="6">
        <f t="shared" si="15"/>
        <v>168</v>
      </c>
      <c r="B157" s="7" t="s">
        <v>892</v>
      </c>
      <c r="C157" s="8" t="s">
        <v>893</v>
      </c>
      <c r="D157" s="9" t="s">
        <v>894</v>
      </c>
      <c r="E157" s="8" t="s">
        <v>440</v>
      </c>
      <c r="F157" s="8" t="s">
        <v>85</v>
      </c>
      <c r="G157" s="10" t="s">
        <v>895</v>
      </c>
      <c r="H157" s="11" t="s">
        <v>359</v>
      </c>
      <c r="I157" s="11" t="s">
        <v>50</v>
      </c>
      <c r="J157" s="11" t="s">
        <v>50</v>
      </c>
      <c r="K157" s="11" t="s">
        <v>43</v>
      </c>
      <c r="L157" s="22">
        <v>2000</v>
      </c>
      <c r="M157" s="13">
        <v>0</v>
      </c>
      <c r="N157" s="13">
        <v>0</v>
      </c>
      <c r="O157" s="14">
        <v>45924</v>
      </c>
      <c r="P157" s="11">
        <v>45961</v>
      </c>
      <c r="Q157" s="11">
        <v>45991</v>
      </c>
      <c r="R157" s="11">
        <v>46022</v>
      </c>
      <c r="S157" s="11">
        <v>46081</v>
      </c>
      <c r="T157" s="15">
        <v>46112</v>
      </c>
      <c r="U157" s="11"/>
      <c r="V157" s="11"/>
      <c r="W157" s="11"/>
      <c r="X157" s="11"/>
      <c r="Y157" s="11"/>
      <c r="Z157" s="11"/>
      <c r="AA157" s="11"/>
      <c r="AB157" s="11"/>
      <c r="AC157" s="8"/>
      <c r="AD157" s="11"/>
      <c r="AE157" s="11"/>
      <c r="AF157" s="11"/>
      <c r="AG157" s="11"/>
      <c r="AH157" s="11"/>
      <c r="AI157" s="11">
        <f t="shared" si="14"/>
        <v>46112</v>
      </c>
    </row>
    <row r="158" spans="1:35" s="16" customFormat="1" ht="16.95" customHeight="1" x14ac:dyDescent="0.3">
      <c r="A158" s="6">
        <f t="shared" si="15"/>
        <v>169</v>
      </c>
      <c r="B158" s="7" t="s">
        <v>896</v>
      </c>
      <c r="C158" s="8" t="s">
        <v>897</v>
      </c>
      <c r="D158" s="19" t="s">
        <v>898</v>
      </c>
      <c r="E158" s="8" t="s">
        <v>862</v>
      </c>
      <c r="F158" s="8" t="s">
        <v>310</v>
      </c>
      <c r="G158" s="10" t="s">
        <v>899</v>
      </c>
      <c r="H158" s="11" t="s">
        <v>900</v>
      </c>
      <c r="I158" s="11" t="s">
        <v>901</v>
      </c>
      <c r="J158" s="11" t="s">
        <v>901</v>
      </c>
      <c r="K158" s="11" t="s">
        <v>43</v>
      </c>
      <c r="L158" s="12">
        <v>4000</v>
      </c>
      <c r="M158" s="13">
        <v>800</v>
      </c>
      <c r="N158" s="13">
        <v>800</v>
      </c>
      <c r="O158" s="14">
        <v>46043</v>
      </c>
      <c r="P158" s="11">
        <v>46142</v>
      </c>
      <c r="Q158" s="11"/>
      <c r="R158" s="11"/>
      <c r="S158" s="11"/>
      <c r="T158" s="15"/>
      <c r="U158" s="11"/>
      <c r="V158" s="11"/>
      <c r="W158" s="11"/>
      <c r="X158" s="11"/>
      <c r="Y158" s="11"/>
      <c r="Z158" s="11"/>
      <c r="AA158" s="11"/>
      <c r="AB158" s="11"/>
      <c r="AC158" s="8"/>
      <c r="AD158" s="11"/>
      <c r="AE158" s="11"/>
      <c r="AF158" s="11"/>
      <c r="AG158" s="11"/>
      <c r="AH158" s="11"/>
      <c r="AI158" s="11">
        <f t="shared" si="14"/>
        <v>46142</v>
      </c>
    </row>
    <row r="159" spans="1:35" s="16" customFormat="1" ht="16.95" customHeight="1" x14ac:dyDescent="0.3">
      <c r="A159" s="6">
        <f t="shared" si="15"/>
        <v>170</v>
      </c>
      <c r="B159" s="7" t="s">
        <v>902</v>
      </c>
      <c r="C159" s="8" t="s">
        <v>903</v>
      </c>
      <c r="D159" s="9" t="s">
        <v>904</v>
      </c>
      <c r="E159" s="8" t="s">
        <v>61</v>
      </c>
      <c r="F159" s="8" t="s">
        <v>62</v>
      </c>
      <c r="G159" s="10" t="s">
        <v>905</v>
      </c>
      <c r="H159" s="11" t="s">
        <v>244</v>
      </c>
      <c r="I159" s="11" t="s">
        <v>244</v>
      </c>
      <c r="J159" s="11" t="s">
        <v>245</v>
      </c>
      <c r="K159" s="11" t="s">
        <v>43</v>
      </c>
      <c r="L159" s="12">
        <v>3700</v>
      </c>
      <c r="M159" s="13">
        <v>500</v>
      </c>
      <c r="N159" s="13">
        <v>500</v>
      </c>
      <c r="O159" s="14">
        <v>45882</v>
      </c>
      <c r="P159" s="11">
        <v>45961</v>
      </c>
      <c r="Q159" s="11">
        <v>46053</v>
      </c>
      <c r="R159" s="11">
        <v>46142</v>
      </c>
      <c r="S159" s="11"/>
      <c r="T159" s="15"/>
      <c r="U159" s="11"/>
      <c r="V159" s="11"/>
      <c r="W159" s="11"/>
      <c r="X159" s="11"/>
      <c r="Y159" s="11"/>
      <c r="Z159" s="11"/>
      <c r="AA159" s="11"/>
      <c r="AB159" s="11"/>
      <c r="AC159" s="8"/>
      <c r="AD159" s="11"/>
      <c r="AE159" s="11"/>
      <c r="AF159" s="11"/>
      <c r="AG159" s="11"/>
      <c r="AH159" s="11"/>
      <c r="AI159" s="11">
        <f t="shared" si="14"/>
        <v>46142</v>
      </c>
    </row>
    <row r="160" spans="1:35" s="16" customFormat="1" ht="16.95" customHeight="1" x14ac:dyDescent="0.3">
      <c r="A160" s="6">
        <f t="shared" si="15"/>
        <v>171</v>
      </c>
      <c r="B160" s="7" t="s">
        <v>906</v>
      </c>
      <c r="C160" s="8" t="s">
        <v>907</v>
      </c>
      <c r="D160" s="9" t="s">
        <v>908</v>
      </c>
      <c r="E160" s="8" t="s">
        <v>517</v>
      </c>
      <c r="F160" s="8" t="s">
        <v>131</v>
      </c>
      <c r="G160" s="10" t="s">
        <v>909</v>
      </c>
      <c r="H160" s="11" t="s">
        <v>910</v>
      </c>
      <c r="I160" s="11" t="s">
        <v>629</v>
      </c>
      <c r="J160" s="11" t="s">
        <v>255</v>
      </c>
      <c r="K160" s="11" t="s">
        <v>43</v>
      </c>
      <c r="L160" s="12">
        <v>4500</v>
      </c>
      <c r="M160" s="13">
        <v>500</v>
      </c>
      <c r="N160" s="13">
        <v>500</v>
      </c>
      <c r="O160" s="14">
        <v>45726</v>
      </c>
      <c r="P160" s="11">
        <v>45808</v>
      </c>
      <c r="Q160" s="11">
        <v>45900</v>
      </c>
      <c r="R160" s="11">
        <v>45961</v>
      </c>
      <c r="S160" s="11">
        <v>46022</v>
      </c>
      <c r="T160" s="11">
        <v>46053</v>
      </c>
      <c r="U160" s="11">
        <v>46112</v>
      </c>
      <c r="V160" s="11"/>
      <c r="W160" s="11"/>
      <c r="X160" s="11"/>
      <c r="Y160" s="11"/>
      <c r="Z160" s="11"/>
      <c r="AA160" s="11"/>
      <c r="AB160" s="11"/>
      <c r="AC160" s="8"/>
      <c r="AD160" s="11"/>
      <c r="AE160" s="11"/>
      <c r="AF160" s="11"/>
      <c r="AG160" s="11"/>
      <c r="AH160" s="11"/>
      <c r="AI160" s="11">
        <f t="shared" si="14"/>
        <v>46112</v>
      </c>
    </row>
    <row r="161" spans="1:35" s="16" customFormat="1" ht="16.95" customHeight="1" x14ac:dyDescent="0.3">
      <c r="A161" s="6">
        <f t="shared" si="15"/>
        <v>172</v>
      </c>
      <c r="B161" s="7" t="s">
        <v>911</v>
      </c>
      <c r="C161" s="8" t="s">
        <v>912</v>
      </c>
      <c r="D161" s="9" t="s">
        <v>913</v>
      </c>
      <c r="E161" s="8" t="s">
        <v>61</v>
      </c>
      <c r="F161" s="8" t="s">
        <v>62</v>
      </c>
      <c r="G161" s="10" t="s">
        <v>914</v>
      </c>
      <c r="H161" s="11" t="s">
        <v>371</v>
      </c>
      <c r="I161" s="11" t="s">
        <v>50</v>
      </c>
      <c r="J161" s="11" t="s">
        <v>50</v>
      </c>
      <c r="K161" s="11" t="s">
        <v>43</v>
      </c>
      <c r="L161" s="12">
        <v>3500</v>
      </c>
      <c r="M161" s="13">
        <v>375</v>
      </c>
      <c r="N161" s="13">
        <v>0</v>
      </c>
      <c r="O161" s="14">
        <v>45684</v>
      </c>
      <c r="P161" s="11">
        <v>45777</v>
      </c>
      <c r="Q161" s="11">
        <v>45869</v>
      </c>
      <c r="R161" s="11">
        <v>45961</v>
      </c>
      <c r="S161" s="11">
        <v>46053</v>
      </c>
      <c r="T161" s="15">
        <v>46142</v>
      </c>
      <c r="U161" s="11"/>
      <c r="V161" s="11"/>
      <c r="W161" s="11"/>
      <c r="X161" s="11"/>
      <c r="Y161" s="11"/>
      <c r="Z161" s="11"/>
      <c r="AA161" s="11"/>
      <c r="AB161" s="11"/>
      <c r="AC161" s="8"/>
      <c r="AD161" s="11"/>
      <c r="AE161" s="11"/>
      <c r="AF161" s="11"/>
      <c r="AG161" s="11"/>
      <c r="AH161" s="11"/>
      <c r="AI161" s="11">
        <f t="shared" si="14"/>
        <v>46142</v>
      </c>
    </row>
    <row r="162" spans="1:35" s="16" customFormat="1" ht="16.95" customHeight="1" x14ac:dyDescent="0.3">
      <c r="A162" s="6">
        <f t="shared" si="15"/>
        <v>173</v>
      </c>
      <c r="B162" s="7" t="s">
        <v>915</v>
      </c>
      <c r="C162" s="8" t="s">
        <v>916</v>
      </c>
      <c r="D162" s="9" t="s">
        <v>917</v>
      </c>
      <c r="E162" s="8" t="s">
        <v>196</v>
      </c>
      <c r="F162" s="8" t="s">
        <v>885</v>
      </c>
      <c r="G162" s="10" t="s">
        <v>918</v>
      </c>
      <c r="H162" s="11" t="s">
        <v>92</v>
      </c>
      <c r="I162" s="11" t="s">
        <v>73</v>
      </c>
      <c r="J162" s="11" t="s">
        <v>73</v>
      </c>
      <c r="K162" s="11" t="s">
        <v>51</v>
      </c>
      <c r="L162" s="12">
        <v>6500</v>
      </c>
      <c r="M162" s="13">
        <v>800</v>
      </c>
      <c r="N162" s="13">
        <v>800</v>
      </c>
      <c r="O162" s="14">
        <v>45705</v>
      </c>
      <c r="P162" s="11">
        <v>45777</v>
      </c>
      <c r="Q162" s="11">
        <v>45869</v>
      </c>
      <c r="R162" s="11">
        <v>45961</v>
      </c>
      <c r="S162" s="11">
        <v>46053</v>
      </c>
      <c r="T162" s="15">
        <v>46142</v>
      </c>
      <c r="U162" s="11"/>
      <c r="V162" s="11"/>
      <c r="W162" s="11"/>
      <c r="X162" s="11"/>
      <c r="Y162" s="11"/>
      <c r="Z162" s="11"/>
      <c r="AA162" s="11"/>
      <c r="AB162" s="11"/>
      <c r="AC162" s="8"/>
      <c r="AD162" s="11"/>
      <c r="AE162" s="11"/>
      <c r="AF162" s="11"/>
      <c r="AG162" s="11"/>
      <c r="AH162" s="11"/>
      <c r="AI162" s="11">
        <f t="shared" si="14"/>
        <v>46142</v>
      </c>
    </row>
    <row r="163" spans="1:35" s="16" customFormat="1" ht="16.95" customHeight="1" x14ac:dyDescent="0.3">
      <c r="A163" s="6">
        <f t="shared" si="15"/>
        <v>174</v>
      </c>
      <c r="B163" s="7" t="s">
        <v>919</v>
      </c>
      <c r="C163" s="8" t="s">
        <v>920</v>
      </c>
      <c r="D163" s="9" t="s">
        <v>921</v>
      </c>
      <c r="E163" s="8" t="s">
        <v>922</v>
      </c>
      <c r="F163" s="8" t="s">
        <v>179</v>
      </c>
      <c r="G163" s="10" t="s">
        <v>923</v>
      </c>
      <c r="H163" s="11" t="s">
        <v>65</v>
      </c>
      <c r="I163" s="11" t="s">
        <v>65</v>
      </c>
      <c r="J163" s="11" t="s">
        <v>65</v>
      </c>
      <c r="K163" s="11" t="s">
        <v>43</v>
      </c>
      <c r="L163" s="12">
        <v>13000</v>
      </c>
      <c r="M163" s="13">
        <v>800</v>
      </c>
      <c r="N163" s="13">
        <v>800</v>
      </c>
      <c r="O163" s="14">
        <v>46000</v>
      </c>
      <c r="P163" s="11">
        <v>46112</v>
      </c>
      <c r="Q163" s="11"/>
      <c r="R163" s="11"/>
      <c r="S163" s="11"/>
      <c r="T163" s="15"/>
      <c r="U163" s="11"/>
      <c r="V163" s="11"/>
      <c r="W163" s="11"/>
      <c r="X163" s="11"/>
      <c r="Y163" s="11"/>
      <c r="Z163" s="11"/>
      <c r="AA163" s="11"/>
      <c r="AB163" s="11"/>
      <c r="AC163" s="8"/>
      <c r="AD163" s="11"/>
      <c r="AE163" s="11"/>
      <c r="AF163" s="11"/>
      <c r="AG163" s="11"/>
      <c r="AH163" s="11"/>
      <c r="AI163" s="11">
        <f t="shared" si="14"/>
        <v>46112</v>
      </c>
    </row>
    <row r="164" spans="1:35" s="16" customFormat="1" ht="16.95" customHeight="1" x14ac:dyDescent="0.3">
      <c r="A164" s="6">
        <f t="shared" si="15"/>
        <v>175</v>
      </c>
      <c r="B164" s="7" t="s">
        <v>924</v>
      </c>
      <c r="C164" s="8" t="s">
        <v>925</v>
      </c>
      <c r="D164" s="9" t="s">
        <v>926</v>
      </c>
      <c r="E164" s="8" t="s">
        <v>407</v>
      </c>
      <c r="F164" s="8" t="s">
        <v>131</v>
      </c>
      <c r="G164" s="10" t="s">
        <v>927</v>
      </c>
      <c r="H164" s="11" t="s">
        <v>928</v>
      </c>
      <c r="I164" s="11" t="s">
        <v>929</v>
      </c>
      <c r="J164" s="11" t="s">
        <v>930</v>
      </c>
      <c r="K164" s="11" t="s">
        <v>43</v>
      </c>
      <c r="L164" s="12">
        <v>4500</v>
      </c>
      <c r="M164" s="13">
        <v>500</v>
      </c>
      <c r="N164" s="13">
        <v>500</v>
      </c>
      <c r="O164" s="14">
        <v>45931</v>
      </c>
      <c r="P164" s="11">
        <v>46022</v>
      </c>
      <c r="Q164" s="11">
        <v>46053</v>
      </c>
      <c r="R164" s="11">
        <v>46112</v>
      </c>
      <c r="S164" s="11"/>
      <c r="T164" s="15"/>
      <c r="U164" s="11"/>
      <c r="V164" s="11"/>
      <c r="W164" s="11"/>
      <c r="X164" s="11"/>
      <c r="Y164" s="11"/>
      <c r="Z164" s="11"/>
      <c r="AA164" s="11"/>
      <c r="AB164" s="11"/>
      <c r="AC164" s="8"/>
      <c r="AD164" s="11"/>
      <c r="AE164" s="11"/>
      <c r="AF164" s="11"/>
      <c r="AG164" s="11"/>
      <c r="AH164" s="11"/>
      <c r="AI164" s="11">
        <f t="shared" si="14"/>
        <v>46112</v>
      </c>
    </row>
    <row r="165" spans="1:35" s="16" customFormat="1" ht="16.95" customHeight="1" x14ac:dyDescent="0.3">
      <c r="A165" s="6">
        <f t="shared" si="15"/>
        <v>176</v>
      </c>
      <c r="B165" s="7" t="s">
        <v>931</v>
      </c>
      <c r="C165" s="8" t="s">
        <v>932</v>
      </c>
      <c r="D165" s="9" t="s">
        <v>933</v>
      </c>
      <c r="E165" s="8" t="s">
        <v>934</v>
      </c>
      <c r="F165" s="8" t="s">
        <v>935</v>
      </c>
      <c r="G165" s="10" t="s">
        <v>936</v>
      </c>
      <c r="H165" s="11" t="s">
        <v>72</v>
      </c>
      <c r="I165" s="11" t="s">
        <v>73</v>
      </c>
      <c r="J165" s="11" t="s">
        <v>73</v>
      </c>
      <c r="K165" s="11" t="s">
        <v>43</v>
      </c>
      <c r="L165" s="12">
        <v>4500</v>
      </c>
      <c r="M165" s="13">
        <v>500</v>
      </c>
      <c r="N165" s="13">
        <v>500</v>
      </c>
      <c r="O165" s="14">
        <v>45902</v>
      </c>
      <c r="P165" s="11">
        <v>45991</v>
      </c>
      <c r="Q165" s="11">
        <v>46022</v>
      </c>
      <c r="R165" s="11">
        <v>46053</v>
      </c>
      <c r="S165" s="11">
        <v>46112</v>
      </c>
      <c r="T165" s="15"/>
      <c r="U165" s="11"/>
      <c r="V165" s="11"/>
      <c r="W165" s="11"/>
      <c r="X165" s="11"/>
      <c r="Y165" s="11"/>
      <c r="Z165" s="11"/>
      <c r="AA165" s="11"/>
      <c r="AB165" s="11"/>
      <c r="AC165" s="8"/>
      <c r="AD165" s="11"/>
      <c r="AE165" s="11"/>
      <c r="AF165" s="11"/>
      <c r="AG165" s="11"/>
      <c r="AH165" s="11"/>
      <c r="AI165" s="11">
        <f t="shared" si="14"/>
        <v>46112</v>
      </c>
    </row>
    <row r="166" spans="1:35" s="16" customFormat="1" ht="16.95" customHeight="1" x14ac:dyDescent="0.3">
      <c r="A166" s="6">
        <f t="shared" si="15"/>
        <v>177</v>
      </c>
      <c r="B166" s="7" t="s">
        <v>937</v>
      </c>
      <c r="C166" s="8" t="s">
        <v>938</v>
      </c>
      <c r="D166" s="9" t="s">
        <v>939</v>
      </c>
      <c r="E166" s="8" t="s">
        <v>940</v>
      </c>
      <c r="F166" s="8" t="s">
        <v>131</v>
      </c>
      <c r="G166" s="10" t="s">
        <v>941</v>
      </c>
      <c r="H166" s="11" t="s">
        <v>348</v>
      </c>
      <c r="I166" s="11" t="s">
        <v>73</v>
      </c>
      <c r="J166" s="11" t="s">
        <v>73</v>
      </c>
      <c r="K166" s="11" t="s">
        <v>51</v>
      </c>
      <c r="L166" s="12">
        <v>10500</v>
      </c>
      <c r="M166" s="13">
        <v>800</v>
      </c>
      <c r="N166" s="13">
        <v>800</v>
      </c>
      <c r="O166" s="14">
        <v>45610</v>
      </c>
      <c r="P166" s="11">
        <v>45688</v>
      </c>
      <c r="Q166" s="11">
        <v>45777</v>
      </c>
      <c r="R166" s="11">
        <v>45869</v>
      </c>
      <c r="S166" s="11">
        <v>45961</v>
      </c>
      <c r="T166" s="15">
        <v>46053</v>
      </c>
      <c r="U166" s="11">
        <v>46142</v>
      </c>
      <c r="V166" s="11"/>
      <c r="W166" s="11"/>
      <c r="X166" s="11"/>
      <c r="Y166" s="11"/>
      <c r="Z166" s="11"/>
      <c r="AA166" s="11"/>
      <c r="AB166" s="11"/>
      <c r="AC166" s="8"/>
      <c r="AD166" s="11"/>
      <c r="AE166" s="11"/>
      <c r="AF166" s="11"/>
      <c r="AG166" s="11"/>
      <c r="AH166" s="11"/>
      <c r="AI166" s="11">
        <f t="shared" si="14"/>
        <v>46142</v>
      </c>
    </row>
    <row r="167" spans="1:35" s="16" customFormat="1" ht="16.95" customHeight="1" x14ac:dyDescent="0.3">
      <c r="A167" s="6">
        <f t="shared" si="15"/>
        <v>178</v>
      </c>
      <c r="B167" s="7" t="s">
        <v>942</v>
      </c>
      <c r="C167" s="8" t="s">
        <v>943</v>
      </c>
      <c r="D167" s="9" t="s">
        <v>944</v>
      </c>
      <c r="E167" s="8" t="s">
        <v>196</v>
      </c>
      <c r="F167" s="8" t="s">
        <v>885</v>
      </c>
      <c r="G167" s="10" t="s">
        <v>945</v>
      </c>
      <c r="H167" s="11" t="s">
        <v>125</v>
      </c>
      <c r="I167" s="11" t="s">
        <v>125</v>
      </c>
      <c r="J167" s="11" t="s">
        <v>126</v>
      </c>
      <c r="K167" s="11" t="s">
        <v>51</v>
      </c>
      <c r="L167" s="12">
        <v>4500</v>
      </c>
      <c r="M167" s="13">
        <v>500</v>
      </c>
      <c r="N167" s="13">
        <v>500</v>
      </c>
      <c r="O167" s="14">
        <v>45839</v>
      </c>
      <c r="P167" s="11">
        <v>45930</v>
      </c>
      <c r="Q167" s="11">
        <v>46022</v>
      </c>
      <c r="R167" s="11">
        <v>46112</v>
      </c>
      <c r="S167" s="11"/>
      <c r="T167" s="17"/>
      <c r="U167" s="11"/>
      <c r="V167" s="11"/>
      <c r="W167" s="11"/>
      <c r="X167" s="11"/>
      <c r="Y167" s="11"/>
      <c r="Z167" s="11"/>
      <c r="AA167" s="11"/>
      <c r="AB167" s="11"/>
      <c r="AC167" s="18"/>
      <c r="AD167" s="18"/>
      <c r="AE167" s="18"/>
      <c r="AF167" s="18"/>
      <c r="AG167" s="18"/>
      <c r="AH167" s="18"/>
      <c r="AI167" s="11">
        <f t="shared" si="14"/>
        <v>46112</v>
      </c>
    </row>
    <row r="168" spans="1:35" s="16" customFormat="1" ht="16.95" customHeight="1" x14ac:dyDescent="0.3">
      <c r="A168" s="6">
        <f t="shared" si="15"/>
        <v>179</v>
      </c>
      <c r="B168" s="7" t="s">
        <v>946</v>
      </c>
      <c r="C168" s="8" t="s">
        <v>947</v>
      </c>
      <c r="D168" s="9" t="s">
        <v>948</v>
      </c>
      <c r="E168" s="8" t="s">
        <v>862</v>
      </c>
      <c r="F168" s="8" t="s">
        <v>139</v>
      </c>
      <c r="G168" s="10" t="s">
        <v>949</v>
      </c>
      <c r="H168" s="11" t="s">
        <v>950</v>
      </c>
      <c r="I168" s="11" t="s">
        <v>951</v>
      </c>
      <c r="J168" s="11" t="s">
        <v>952</v>
      </c>
      <c r="K168" s="11" t="s">
        <v>51</v>
      </c>
      <c r="L168" s="12">
        <v>4500</v>
      </c>
      <c r="M168" s="13">
        <v>0</v>
      </c>
      <c r="N168" s="13">
        <v>0</v>
      </c>
      <c r="O168" s="14">
        <v>45261</v>
      </c>
      <c r="P168" s="11">
        <v>45351</v>
      </c>
      <c r="Q168" s="11">
        <v>45443</v>
      </c>
      <c r="R168" s="11">
        <v>45535</v>
      </c>
      <c r="S168" s="11">
        <v>45626</v>
      </c>
      <c r="T168" s="15">
        <v>45716</v>
      </c>
      <c r="U168" s="11">
        <v>45808</v>
      </c>
      <c r="V168" s="11">
        <v>45900</v>
      </c>
      <c r="W168" s="11">
        <v>45991</v>
      </c>
      <c r="X168" s="11">
        <v>46081</v>
      </c>
      <c r="Y168" s="11">
        <v>46112</v>
      </c>
      <c r="Z168" s="11"/>
      <c r="AA168" s="11"/>
      <c r="AB168" s="11"/>
      <c r="AC168" s="8"/>
      <c r="AD168" s="11"/>
      <c r="AE168" s="11"/>
      <c r="AF168" s="11"/>
      <c r="AG168" s="11"/>
      <c r="AH168" s="11"/>
      <c r="AI168" s="11">
        <f t="shared" si="14"/>
        <v>46112</v>
      </c>
    </row>
    <row r="169" spans="1:35" s="16" customFormat="1" ht="16.95" customHeight="1" x14ac:dyDescent="0.3">
      <c r="A169" s="6">
        <f t="shared" si="15"/>
        <v>180</v>
      </c>
      <c r="B169" s="7" t="s">
        <v>953</v>
      </c>
      <c r="C169" s="8" t="s">
        <v>954</v>
      </c>
      <c r="D169" s="9" t="s">
        <v>955</v>
      </c>
      <c r="E169" s="8" t="s">
        <v>956</v>
      </c>
      <c r="F169" s="8" t="s">
        <v>70</v>
      </c>
      <c r="G169" s="10" t="s">
        <v>957</v>
      </c>
      <c r="H169" s="11" t="s">
        <v>958</v>
      </c>
      <c r="I169" s="11" t="s">
        <v>958</v>
      </c>
      <c r="J169" s="11" t="s">
        <v>73</v>
      </c>
      <c r="K169" s="11" t="s">
        <v>51</v>
      </c>
      <c r="L169" s="12">
        <v>22500</v>
      </c>
      <c r="M169" s="13">
        <v>800</v>
      </c>
      <c r="N169" s="13">
        <v>800</v>
      </c>
      <c r="O169" s="14">
        <v>45355</v>
      </c>
      <c r="P169" s="11">
        <v>45443</v>
      </c>
      <c r="Q169" s="11">
        <v>45535</v>
      </c>
      <c r="R169" s="11">
        <v>45626</v>
      </c>
      <c r="S169" s="11">
        <v>45716</v>
      </c>
      <c r="T169" s="15">
        <v>45900</v>
      </c>
      <c r="U169" s="11">
        <v>46081</v>
      </c>
      <c r="V169" s="11">
        <v>46173</v>
      </c>
      <c r="W169" s="11"/>
      <c r="X169" s="11"/>
      <c r="Y169" s="11"/>
      <c r="Z169" s="11"/>
      <c r="AA169" s="11"/>
      <c r="AB169" s="11"/>
      <c r="AC169" s="8"/>
      <c r="AD169" s="11"/>
      <c r="AE169" s="11"/>
      <c r="AF169" s="11"/>
      <c r="AG169" s="11"/>
      <c r="AH169" s="11"/>
      <c r="AI169" s="11">
        <f t="shared" si="14"/>
        <v>46173</v>
      </c>
    </row>
    <row r="170" spans="1:35" s="16" customFormat="1" ht="16.95" customHeight="1" x14ac:dyDescent="0.3">
      <c r="A170" s="6">
        <f t="shared" si="15"/>
        <v>181</v>
      </c>
      <c r="B170" s="7" t="s">
        <v>959</v>
      </c>
      <c r="C170" s="8" t="s">
        <v>960</v>
      </c>
      <c r="D170" s="9" t="s">
        <v>961</v>
      </c>
      <c r="E170" s="8" t="s">
        <v>627</v>
      </c>
      <c r="F170" s="8" t="s">
        <v>962</v>
      </c>
      <c r="G170" s="10" t="s">
        <v>963</v>
      </c>
      <c r="H170" s="11" t="s">
        <v>964</v>
      </c>
      <c r="I170" s="11" t="s">
        <v>331</v>
      </c>
      <c r="J170" s="11" t="s">
        <v>332</v>
      </c>
      <c r="K170" s="11" t="s">
        <v>51</v>
      </c>
      <c r="L170" s="12">
        <v>5800</v>
      </c>
      <c r="M170" s="13">
        <v>800</v>
      </c>
      <c r="N170" s="13">
        <v>800</v>
      </c>
      <c r="O170" s="14">
        <v>45931</v>
      </c>
      <c r="P170" s="11">
        <v>46022</v>
      </c>
      <c r="Q170" s="11">
        <v>46081</v>
      </c>
      <c r="R170" s="11">
        <v>46112</v>
      </c>
      <c r="S170" s="11"/>
      <c r="T170" s="15"/>
      <c r="U170" s="11"/>
      <c r="V170" s="11"/>
      <c r="W170" s="11"/>
      <c r="X170" s="11"/>
      <c r="Y170" s="11"/>
      <c r="Z170" s="11"/>
      <c r="AA170" s="11"/>
      <c r="AB170" s="11"/>
      <c r="AC170" s="8"/>
      <c r="AD170" s="11"/>
      <c r="AE170" s="11"/>
      <c r="AF170" s="11"/>
      <c r="AG170" s="11"/>
      <c r="AH170" s="11"/>
      <c r="AI170" s="11">
        <f t="shared" si="14"/>
        <v>46112</v>
      </c>
    </row>
    <row r="171" spans="1:35" s="16" customFormat="1" ht="16.95" customHeight="1" x14ac:dyDescent="0.3">
      <c r="A171" s="6">
        <f t="shared" si="15"/>
        <v>182</v>
      </c>
      <c r="B171" s="7" t="s">
        <v>965</v>
      </c>
      <c r="C171" s="8" t="s">
        <v>966</v>
      </c>
      <c r="D171" s="9" t="s">
        <v>967</v>
      </c>
      <c r="E171" s="8" t="s">
        <v>824</v>
      </c>
      <c r="F171" s="8" t="s">
        <v>935</v>
      </c>
      <c r="G171" s="10" t="s">
        <v>968</v>
      </c>
      <c r="H171" s="11" t="s">
        <v>969</v>
      </c>
      <c r="I171" s="11" t="s">
        <v>773</v>
      </c>
      <c r="J171" s="11" t="s">
        <v>774</v>
      </c>
      <c r="K171" s="11" t="s">
        <v>51</v>
      </c>
      <c r="L171" s="12">
        <v>4500</v>
      </c>
      <c r="M171" s="13">
        <v>800</v>
      </c>
      <c r="N171" s="13">
        <v>800</v>
      </c>
      <c r="O171" s="14">
        <v>45968</v>
      </c>
      <c r="P171" s="11">
        <v>46022</v>
      </c>
      <c r="Q171" s="11">
        <v>46112</v>
      </c>
      <c r="R171" s="11"/>
      <c r="S171" s="11"/>
      <c r="T171" s="17"/>
      <c r="U171" s="11"/>
      <c r="V171" s="11"/>
      <c r="W171" s="11"/>
      <c r="X171" s="11"/>
      <c r="Y171" s="11"/>
      <c r="Z171" s="11"/>
      <c r="AA171" s="11"/>
      <c r="AB171" s="11"/>
      <c r="AC171" s="18"/>
      <c r="AD171" s="18"/>
      <c r="AE171" s="18"/>
      <c r="AF171" s="18"/>
      <c r="AG171" s="18"/>
      <c r="AH171" s="18"/>
      <c r="AI171" s="11">
        <f t="shared" si="14"/>
        <v>46112</v>
      </c>
    </row>
    <row r="172" spans="1:35" s="16" customFormat="1" ht="16.95" customHeight="1" x14ac:dyDescent="0.3">
      <c r="A172" s="6">
        <f t="shared" si="15"/>
        <v>183</v>
      </c>
      <c r="B172" s="7" t="s">
        <v>970</v>
      </c>
      <c r="C172" s="8" t="s">
        <v>971</v>
      </c>
      <c r="D172" s="9" t="s">
        <v>972</v>
      </c>
      <c r="E172" s="8" t="s">
        <v>145</v>
      </c>
      <c r="F172" s="8" t="s">
        <v>131</v>
      </c>
      <c r="G172" s="10" t="s">
        <v>973</v>
      </c>
      <c r="H172" s="11" t="s">
        <v>974</v>
      </c>
      <c r="I172" s="11" t="s">
        <v>300</v>
      </c>
      <c r="J172" s="11" t="s">
        <v>300</v>
      </c>
      <c r="K172" s="11" t="s">
        <v>43</v>
      </c>
      <c r="L172" s="12">
        <v>4000</v>
      </c>
      <c r="M172" s="13">
        <v>500</v>
      </c>
      <c r="N172" s="13">
        <v>500</v>
      </c>
      <c r="O172" s="14">
        <v>45812</v>
      </c>
      <c r="P172" s="11">
        <v>45900</v>
      </c>
      <c r="Q172" s="11">
        <v>45991</v>
      </c>
      <c r="R172" s="11">
        <v>46081</v>
      </c>
      <c r="S172" s="11">
        <v>46112</v>
      </c>
      <c r="T172" s="15"/>
      <c r="U172" s="11"/>
      <c r="V172" s="11"/>
      <c r="W172" s="11"/>
      <c r="X172" s="11"/>
      <c r="Y172" s="11"/>
      <c r="Z172" s="11"/>
      <c r="AA172" s="11"/>
      <c r="AB172" s="11"/>
      <c r="AC172" s="8"/>
      <c r="AD172" s="11"/>
      <c r="AE172" s="11"/>
      <c r="AF172" s="11"/>
      <c r="AG172" s="11"/>
      <c r="AH172" s="11"/>
      <c r="AI172" s="11">
        <f t="shared" si="14"/>
        <v>46112</v>
      </c>
    </row>
    <row r="173" spans="1:35" ht="14.4" x14ac:dyDescent="0.3">
      <c r="B173" s="24"/>
      <c r="C173" s="25"/>
      <c r="U173" s="11"/>
      <c r="V173" s="11"/>
      <c r="W173" s="11"/>
      <c r="X173" s="11"/>
      <c r="Y173" s="11"/>
      <c r="Z173" s="11"/>
      <c r="AA173" s="11"/>
      <c r="AB173" s="11"/>
    </row>
    <row r="174" spans="1:35" ht="14.4" x14ac:dyDescent="0.3">
      <c r="B174" s="24"/>
      <c r="C174" s="25"/>
    </row>
    <row r="175" spans="1:35" ht="14.4" x14ac:dyDescent="0.3">
      <c r="B175" s="24"/>
      <c r="C175" s="25"/>
    </row>
    <row r="176" spans="1:35" ht="14.4" x14ac:dyDescent="0.3">
      <c r="B176" s="24"/>
      <c r="C176" s="25"/>
    </row>
    <row r="177" spans="2:3" ht="14.4" x14ac:dyDescent="0.3">
      <c r="B177" s="24"/>
      <c r="C177" s="25"/>
    </row>
    <row r="178" spans="2:3" ht="14.4" x14ac:dyDescent="0.3">
      <c r="B178" s="24"/>
      <c r="C178" s="25"/>
    </row>
    <row r="179" spans="2:3" ht="14.4" x14ac:dyDescent="0.3">
      <c r="B179" s="24"/>
      <c r="C179" s="25"/>
    </row>
    <row r="180" spans="2:3" ht="14.4" x14ac:dyDescent="0.3">
      <c r="B180" s="24"/>
      <c r="C180" s="25"/>
    </row>
    <row r="181" spans="2:3" ht="14.4" x14ac:dyDescent="0.3">
      <c r="B181" s="24"/>
      <c r="C181" s="25"/>
    </row>
    <row r="182" spans="2:3" ht="14.4" x14ac:dyDescent="0.3">
      <c r="B182" s="25"/>
      <c r="C182" s="25"/>
    </row>
    <row r="183" spans="2:3" ht="14.4" x14ac:dyDescent="0.3">
      <c r="B183" s="25"/>
      <c r="C183" s="25"/>
    </row>
    <row r="184" spans="2:3" ht="14.4" x14ac:dyDescent="0.3">
      <c r="B184" s="25"/>
      <c r="C184" s="25"/>
    </row>
    <row r="185" spans="2:3" ht="14.4" x14ac:dyDescent="0.3">
      <c r="B185" s="25"/>
      <c r="C185" s="25"/>
    </row>
    <row r="186" spans="2:3" ht="14.4" x14ac:dyDescent="0.3">
      <c r="B186" s="25"/>
      <c r="C186" s="25"/>
    </row>
    <row r="187" spans="2:3" ht="14.4" x14ac:dyDescent="0.3">
      <c r="B187" s="25"/>
      <c r="C187" s="25"/>
    </row>
    <row r="188" spans="2:3" ht="14.4" x14ac:dyDescent="0.3">
      <c r="B188" s="25"/>
      <c r="C188" s="25"/>
    </row>
    <row r="189" spans="2:3" ht="14.4" x14ac:dyDescent="0.3">
      <c r="B189" s="25"/>
      <c r="C189" s="25"/>
    </row>
    <row r="190" spans="2:3" ht="14.4" x14ac:dyDescent="0.3">
      <c r="B190" s="25"/>
      <c r="C190" s="25"/>
    </row>
    <row r="191" spans="2:3" ht="14.4" x14ac:dyDescent="0.3">
      <c r="B191" s="25"/>
      <c r="C191" s="25"/>
    </row>
    <row r="192" spans="2:3" ht="14.4" x14ac:dyDescent="0.3">
      <c r="B192" s="25"/>
      <c r="C192" s="25"/>
    </row>
    <row r="193" spans="2:3" ht="14.4" x14ac:dyDescent="0.3">
      <c r="B193" s="25"/>
      <c r="C193" s="25"/>
    </row>
    <row r="194" spans="2:3" ht="14.4" x14ac:dyDescent="0.3">
      <c r="B194" s="25"/>
      <c r="C194" s="25"/>
    </row>
    <row r="195" spans="2:3" ht="14.4" x14ac:dyDescent="0.3">
      <c r="B195" s="25"/>
      <c r="C195" s="25"/>
    </row>
    <row r="196" spans="2:3" ht="14.4" x14ac:dyDescent="0.3">
      <c r="B196" s="25"/>
      <c r="C196" s="25"/>
    </row>
    <row r="197" spans="2:3" ht="14.4" x14ac:dyDescent="0.3">
      <c r="B197" s="25"/>
      <c r="C197" s="25"/>
    </row>
    <row r="198" spans="2:3" ht="14.4" x14ac:dyDescent="0.3">
      <c r="B198" s="25"/>
      <c r="C198" s="25"/>
    </row>
    <row r="199" spans="2:3" ht="14.4" x14ac:dyDescent="0.3">
      <c r="B199" s="25"/>
      <c r="C199" s="25"/>
    </row>
    <row r="200" spans="2:3" ht="14.4" x14ac:dyDescent="0.3">
      <c r="B200" s="25"/>
      <c r="C200" s="25"/>
    </row>
    <row r="201" spans="2:3" ht="14.4" x14ac:dyDescent="0.3">
      <c r="B201" s="25"/>
      <c r="C201" s="25"/>
    </row>
    <row r="202" spans="2:3" ht="14.4" x14ac:dyDescent="0.3">
      <c r="B202" s="25"/>
      <c r="C202" s="25"/>
    </row>
    <row r="203" spans="2:3" ht="14.4" x14ac:dyDescent="0.3">
      <c r="B203" s="25"/>
      <c r="C203" s="25"/>
    </row>
    <row r="204" spans="2:3" ht="14.4" x14ac:dyDescent="0.3">
      <c r="C204" s="25"/>
    </row>
    <row r="205" spans="2:3" ht="14.4" x14ac:dyDescent="0.3">
      <c r="C205" s="25"/>
    </row>
    <row r="206" spans="2:3" ht="14.4" x14ac:dyDescent="0.3">
      <c r="C206" s="25"/>
    </row>
    <row r="207" spans="2:3" ht="14.4" x14ac:dyDescent="0.3">
      <c r="C207" s="25"/>
    </row>
    <row r="208" spans="2:3" ht="14.4" x14ac:dyDescent="0.3">
      <c r="C208" s="25"/>
    </row>
    <row r="209" spans="3:3" ht="14.4" x14ac:dyDescent="0.3">
      <c r="C209" s="25"/>
    </row>
    <row r="210" spans="3:3" ht="14.4" x14ac:dyDescent="0.3">
      <c r="C210" s="25"/>
    </row>
    <row r="211" spans="3:3" ht="14.4" x14ac:dyDescent="0.3">
      <c r="C211" s="25"/>
    </row>
    <row r="212" spans="3:3" ht="14.4" x14ac:dyDescent="0.3">
      <c r="C212" s="30"/>
    </row>
    <row r="213" spans="3:3" ht="14.4" x14ac:dyDescent="0.3">
      <c r="C213" s="25"/>
    </row>
    <row r="214" spans="3:3" ht="14.4" x14ac:dyDescent="0.3">
      <c r="C214" s="25"/>
    </row>
    <row r="215" spans="3:3" ht="14.4" x14ac:dyDescent="0.3">
      <c r="C215" s="25"/>
    </row>
    <row r="216" spans="3:3" ht="14.4" x14ac:dyDescent="0.3">
      <c r="C216" s="25"/>
    </row>
    <row r="217" spans="3:3" ht="14.4" x14ac:dyDescent="0.3">
      <c r="C217" s="25"/>
    </row>
    <row r="218" spans="3:3" ht="14.4" x14ac:dyDescent="0.3">
      <c r="C218" s="25"/>
    </row>
    <row r="219" spans="3:3" ht="14.4" x14ac:dyDescent="0.3">
      <c r="C219" s="25"/>
    </row>
    <row r="220" spans="3:3" ht="14.4" x14ac:dyDescent="0.3">
      <c r="C220" s="25"/>
    </row>
    <row r="221" spans="3:3" ht="14.4" x14ac:dyDescent="0.3">
      <c r="C221" s="25"/>
    </row>
    <row r="222" spans="3:3" ht="14.4" x14ac:dyDescent="0.3">
      <c r="C222" s="25"/>
    </row>
    <row r="223" spans="3:3" ht="14.4" x14ac:dyDescent="0.3">
      <c r="C223" s="25"/>
    </row>
    <row r="224" spans="3:3" ht="14.4" x14ac:dyDescent="0.3">
      <c r="C224" s="25"/>
    </row>
    <row r="225" spans="3:3" ht="14.4" x14ac:dyDescent="0.3">
      <c r="C225" s="25"/>
    </row>
    <row r="226" spans="3:3" ht="14.4" x14ac:dyDescent="0.3">
      <c r="C226" s="25"/>
    </row>
    <row r="227" spans="3:3" ht="14.4" x14ac:dyDescent="0.3">
      <c r="C227" s="25"/>
    </row>
    <row r="228" spans="3:3" ht="14.4" x14ac:dyDescent="0.3">
      <c r="C228" s="25"/>
    </row>
    <row r="229" spans="3:3" ht="14.4" x14ac:dyDescent="0.3">
      <c r="C229" s="25"/>
    </row>
    <row r="230" spans="3:3" ht="14.4" x14ac:dyDescent="0.3">
      <c r="C230" s="25"/>
    </row>
    <row r="231" spans="3:3" ht="14.4" x14ac:dyDescent="0.3">
      <c r="C231" s="25"/>
    </row>
    <row r="232" spans="3:3" ht="14.4" x14ac:dyDescent="0.3">
      <c r="C232" s="25"/>
    </row>
    <row r="233" spans="3:3" ht="14.4" x14ac:dyDescent="0.3">
      <c r="C233" s="25"/>
    </row>
    <row r="234" spans="3:3" ht="14.4" x14ac:dyDescent="0.3">
      <c r="C234" s="25"/>
    </row>
    <row r="235" spans="3:3" ht="14.4" x14ac:dyDescent="0.3">
      <c r="C235" s="25"/>
    </row>
    <row r="236" spans="3:3" ht="14.4" x14ac:dyDescent="0.3">
      <c r="C236" s="25"/>
    </row>
    <row r="237" spans="3:3" ht="14.4" x14ac:dyDescent="0.3">
      <c r="C237" s="25"/>
    </row>
    <row r="238" spans="3:3" ht="14.4" x14ac:dyDescent="0.3">
      <c r="C238" s="25"/>
    </row>
    <row r="239" spans="3:3" ht="14.4" x14ac:dyDescent="0.3">
      <c r="C239" s="25"/>
    </row>
    <row r="240" spans="3:3" ht="14.4" x14ac:dyDescent="0.3">
      <c r="C240" s="25"/>
    </row>
    <row r="241" spans="3:3" ht="14.4" x14ac:dyDescent="0.3">
      <c r="C241" s="25"/>
    </row>
    <row r="242" spans="3:3" ht="14.4" x14ac:dyDescent="0.3">
      <c r="C242" s="25"/>
    </row>
    <row r="243" spans="3:3" ht="14.4" x14ac:dyDescent="0.3">
      <c r="C243" s="25"/>
    </row>
    <row r="244" spans="3:3" ht="14.4" x14ac:dyDescent="0.3">
      <c r="C244" s="25"/>
    </row>
    <row r="245" spans="3:3" ht="14.4" x14ac:dyDescent="0.3">
      <c r="C245" s="25"/>
    </row>
    <row r="246" spans="3:3" ht="14.4" x14ac:dyDescent="0.3">
      <c r="C246" s="25"/>
    </row>
    <row r="247" spans="3:3" ht="14.4" x14ac:dyDescent="0.3">
      <c r="C247" s="25"/>
    </row>
    <row r="248" spans="3:3" ht="14.4" x14ac:dyDescent="0.3">
      <c r="C248" s="25"/>
    </row>
    <row r="249" spans="3:3" ht="14.4" x14ac:dyDescent="0.3">
      <c r="C249" s="25"/>
    </row>
    <row r="250" spans="3:3" ht="14.4" x14ac:dyDescent="0.3">
      <c r="C250" s="25"/>
    </row>
    <row r="251" spans="3:3" ht="14.4" x14ac:dyDescent="0.3">
      <c r="C251" s="25"/>
    </row>
    <row r="252" spans="3:3" ht="14.4" x14ac:dyDescent="0.3">
      <c r="C252" s="25"/>
    </row>
    <row r="253" spans="3:3" ht="14.4" x14ac:dyDescent="0.3">
      <c r="C253" s="25"/>
    </row>
    <row r="254" spans="3:3" ht="14.4" x14ac:dyDescent="0.3">
      <c r="C254" s="25"/>
    </row>
    <row r="255" spans="3:3" ht="14.4" x14ac:dyDescent="0.3">
      <c r="C255" s="25"/>
    </row>
    <row r="256" spans="3:3" ht="14.4" x14ac:dyDescent="0.3">
      <c r="C256" s="25"/>
    </row>
    <row r="257" spans="3:3" ht="14.4" x14ac:dyDescent="0.3">
      <c r="C257" s="25"/>
    </row>
    <row r="258" spans="3:3" ht="14.4" x14ac:dyDescent="0.3">
      <c r="C258" s="25"/>
    </row>
    <row r="259" spans="3:3" ht="14.4" x14ac:dyDescent="0.3">
      <c r="C259" s="25"/>
    </row>
    <row r="260" spans="3:3" ht="14.4" x14ac:dyDescent="0.3">
      <c r="C260" s="25"/>
    </row>
    <row r="261" spans="3:3" ht="14.4" x14ac:dyDescent="0.3">
      <c r="C261" s="25"/>
    </row>
    <row r="262" spans="3:3" ht="14.4" x14ac:dyDescent="0.3">
      <c r="C262" s="25"/>
    </row>
    <row r="263" spans="3:3" ht="14.4" x14ac:dyDescent="0.3">
      <c r="C263" s="25"/>
    </row>
    <row r="264" spans="3:3" ht="14.4" x14ac:dyDescent="0.3">
      <c r="C264" s="25"/>
    </row>
    <row r="265" spans="3:3" ht="14.4" x14ac:dyDescent="0.3">
      <c r="C265" s="25"/>
    </row>
    <row r="266" spans="3:3" ht="14.4" x14ac:dyDescent="0.3">
      <c r="C266" s="25"/>
    </row>
    <row r="267" spans="3:3" ht="14.4" x14ac:dyDescent="0.3">
      <c r="C267" s="25"/>
    </row>
    <row r="268" spans="3:3" ht="14.4" x14ac:dyDescent="0.3">
      <c r="C268" s="25"/>
    </row>
    <row r="269" spans="3:3" ht="14.4" x14ac:dyDescent="0.3">
      <c r="C269" s="25"/>
    </row>
    <row r="270" spans="3:3" ht="14.4" x14ac:dyDescent="0.3">
      <c r="C270" s="25"/>
    </row>
    <row r="271" spans="3:3" ht="14.4" x14ac:dyDescent="0.3">
      <c r="C271" s="25"/>
    </row>
    <row r="272" spans="3:3" ht="14.4" x14ac:dyDescent="0.3">
      <c r="C272" s="25"/>
    </row>
    <row r="273" spans="3:3" ht="14.4" x14ac:dyDescent="0.3">
      <c r="C273" s="25"/>
    </row>
    <row r="274" spans="3:3" ht="14.4" x14ac:dyDescent="0.3">
      <c r="C274" s="25"/>
    </row>
    <row r="275" spans="3:3" ht="14.4" x14ac:dyDescent="0.3">
      <c r="C275" s="25"/>
    </row>
    <row r="276" spans="3:3" ht="14.4" x14ac:dyDescent="0.3">
      <c r="C276" s="25"/>
    </row>
    <row r="277" spans="3:3" ht="14.4" x14ac:dyDescent="0.3">
      <c r="C277" s="25"/>
    </row>
    <row r="278" spans="3:3" ht="14.4" x14ac:dyDescent="0.3">
      <c r="C278" s="25"/>
    </row>
    <row r="279" spans="3:3" ht="14.4" x14ac:dyDescent="0.3">
      <c r="C279" s="25"/>
    </row>
    <row r="280" spans="3:3" ht="14.4" x14ac:dyDescent="0.3">
      <c r="C280" s="25"/>
    </row>
    <row r="281" spans="3:3" ht="14.4" x14ac:dyDescent="0.3">
      <c r="C281" s="25"/>
    </row>
    <row r="282" spans="3:3" ht="14.4" x14ac:dyDescent="0.3">
      <c r="C282" s="25"/>
    </row>
    <row r="283" spans="3:3" ht="14.4" x14ac:dyDescent="0.3">
      <c r="C283" s="25"/>
    </row>
    <row r="284" spans="3:3" ht="14.4" x14ac:dyDescent="0.3">
      <c r="C284" s="25"/>
    </row>
    <row r="285" spans="3:3" ht="14.4" x14ac:dyDescent="0.3">
      <c r="C285" s="25"/>
    </row>
    <row r="286" spans="3:3" ht="14.4" x14ac:dyDescent="0.3">
      <c r="C286" s="25"/>
    </row>
    <row r="287" spans="3:3" ht="14.4" x14ac:dyDescent="0.3">
      <c r="C287" s="25"/>
    </row>
    <row r="288" spans="3:3" ht="14.4" x14ac:dyDescent="0.3">
      <c r="C288" s="25"/>
    </row>
    <row r="289" spans="3:3" ht="14.4" x14ac:dyDescent="0.3">
      <c r="C289" s="25"/>
    </row>
    <row r="290" spans="3:3" ht="14.4" x14ac:dyDescent="0.3">
      <c r="C290" s="25"/>
    </row>
    <row r="291" spans="3:3" ht="14.4" x14ac:dyDescent="0.3">
      <c r="C291" s="25"/>
    </row>
    <row r="292" spans="3:3" ht="14.4" x14ac:dyDescent="0.3">
      <c r="C292" s="25"/>
    </row>
    <row r="293" spans="3:3" ht="14.4" x14ac:dyDescent="0.3">
      <c r="C293" s="25"/>
    </row>
    <row r="294" spans="3:3" ht="14.4" x14ac:dyDescent="0.3">
      <c r="C294" s="25"/>
    </row>
    <row r="295" spans="3:3" ht="14.4" x14ac:dyDescent="0.3">
      <c r="C295" s="25"/>
    </row>
    <row r="296" spans="3:3" ht="14.4" x14ac:dyDescent="0.3">
      <c r="C296" s="25"/>
    </row>
    <row r="297" spans="3:3" ht="14.4" x14ac:dyDescent="0.3">
      <c r="C297" s="25"/>
    </row>
    <row r="298" spans="3:3" ht="14.4" x14ac:dyDescent="0.3">
      <c r="C298" s="25"/>
    </row>
    <row r="299" spans="3:3" ht="14.4" x14ac:dyDescent="0.3">
      <c r="C299" s="25"/>
    </row>
    <row r="300" spans="3:3" ht="14.4" x14ac:dyDescent="0.3">
      <c r="C300" s="25"/>
    </row>
    <row r="301" spans="3:3" ht="14.4" x14ac:dyDescent="0.3">
      <c r="C301" s="25"/>
    </row>
    <row r="302" spans="3:3" ht="14.4" x14ac:dyDescent="0.3">
      <c r="C302" s="25"/>
    </row>
    <row r="303" spans="3:3" ht="14.4" x14ac:dyDescent="0.3">
      <c r="C303" s="25"/>
    </row>
    <row r="304" spans="3:3" ht="14.4" x14ac:dyDescent="0.3">
      <c r="C304" s="25"/>
    </row>
    <row r="305" spans="3:3" ht="14.4" x14ac:dyDescent="0.3">
      <c r="C305" s="25"/>
    </row>
    <row r="306" spans="3:3" ht="14.4" x14ac:dyDescent="0.3">
      <c r="C306" s="25"/>
    </row>
    <row r="307" spans="3:3" ht="14.4" x14ac:dyDescent="0.3">
      <c r="C307" s="25"/>
    </row>
    <row r="308" spans="3:3" ht="14.4" x14ac:dyDescent="0.3">
      <c r="C308" s="25"/>
    </row>
    <row r="309" spans="3:3" ht="14.4" x14ac:dyDescent="0.3">
      <c r="C309" s="25"/>
    </row>
    <row r="310" spans="3:3" ht="14.4" x14ac:dyDescent="0.3">
      <c r="C310" s="25"/>
    </row>
    <row r="311" spans="3:3" ht="14.4" x14ac:dyDescent="0.3">
      <c r="C311" s="25"/>
    </row>
    <row r="312" spans="3:3" ht="14.4" x14ac:dyDescent="0.3">
      <c r="C312" s="25"/>
    </row>
    <row r="313" spans="3:3" ht="14.4" x14ac:dyDescent="0.3">
      <c r="C313" s="25"/>
    </row>
    <row r="314" spans="3:3" ht="14.4" x14ac:dyDescent="0.3">
      <c r="C314" s="25"/>
    </row>
    <row r="315" spans="3:3" ht="14.4" x14ac:dyDescent="0.3">
      <c r="C315" s="25"/>
    </row>
    <row r="316" spans="3:3" ht="14.4" x14ac:dyDescent="0.3">
      <c r="C316" s="25"/>
    </row>
    <row r="317" spans="3:3" ht="14.4" x14ac:dyDescent="0.3">
      <c r="C317" s="25"/>
    </row>
    <row r="318" spans="3:3" ht="14.4" x14ac:dyDescent="0.3">
      <c r="C318" s="25"/>
    </row>
    <row r="319" spans="3:3" ht="14.4" x14ac:dyDescent="0.3">
      <c r="C319" s="25"/>
    </row>
    <row r="320" spans="3:3" ht="14.4" x14ac:dyDescent="0.3">
      <c r="C320" s="25"/>
    </row>
    <row r="321" spans="3:3" ht="14.4" x14ac:dyDescent="0.3">
      <c r="C321" s="25"/>
    </row>
    <row r="322" spans="3:3" ht="14.4" x14ac:dyDescent="0.3">
      <c r="C322" s="25"/>
    </row>
    <row r="323" spans="3:3" ht="14.4" x14ac:dyDescent="0.3">
      <c r="C323" s="25"/>
    </row>
    <row r="324" spans="3:3" ht="14.4" x14ac:dyDescent="0.3">
      <c r="C324" s="25"/>
    </row>
    <row r="325" spans="3:3" ht="14.4" x14ac:dyDescent="0.3">
      <c r="C325" s="25"/>
    </row>
    <row r="326" spans="3:3" ht="14.4" x14ac:dyDescent="0.3">
      <c r="C326" s="25"/>
    </row>
    <row r="327" spans="3:3" ht="14.4" x14ac:dyDescent="0.3">
      <c r="C327" s="25"/>
    </row>
    <row r="328" spans="3:3" ht="14.4" x14ac:dyDescent="0.3">
      <c r="C328" s="25"/>
    </row>
    <row r="329" spans="3:3" ht="14.4" x14ac:dyDescent="0.3">
      <c r="C329" s="25"/>
    </row>
    <row r="330" spans="3:3" ht="14.4" x14ac:dyDescent="0.3">
      <c r="C330" s="25"/>
    </row>
    <row r="331" spans="3:3" ht="14.4" x14ac:dyDescent="0.3">
      <c r="C331" s="25"/>
    </row>
    <row r="332" spans="3:3" ht="14.4" x14ac:dyDescent="0.3">
      <c r="C332" s="25"/>
    </row>
    <row r="333" spans="3:3" ht="14.4" x14ac:dyDescent="0.3">
      <c r="C333" s="25"/>
    </row>
    <row r="334" spans="3:3" ht="14.4" x14ac:dyDescent="0.3">
      <c r="C334" s="25"/>
    </row>
    <row r="335" spans="3:3" ht="14.4" x14ac:dyDescent="0.3">
      <c r="C335" s="25"/>
    </row>
    <row r="336" spans="3:3" ht="14.4" x14ac:dyDescent="0.3">
      <c r="C336" s="25"/>
    </row>
    <row r="337" spans="3:3" ht="14.4" x14ac:dyDescent="0.3">
      <c r="C337" s="25"/>
    </row>
    <row r="338" spans="3:3" ht="14.4" x14ac:dyDescent="0.3">
      <c r="C338" s="25"/>
    </row>
    <row r="339" spans="3:3" ht="14.4" x14ac:dyDescent="0.3">
      <c r="C339" s="25"/>
    </row>
    <row r="340" spans="3:3" ht="14.4" x14ac:dyDescent="0.3">
      <c r="C340" s="25"/>
    </row>
    <row r="341" spans="3:3" ht="14.4" x14ac:dyDescent="0.3">
      <c r="C341" s="25"/>
    </row>
    <row r="342" spans="3:3" ht="14.4" x14ac:dyDescent="0.3">
      <c r="C342" s="25"/>
    </row>
    <row r="343" spans="3:3" ht="14.4" x14ac:dyDescent="0.3">
      <c r="C343" s="25"/>
    </row>
    <row r="344" spans="3:3" ht="14.4" x14ac:dyDescent="0.3">
      <c r="C344" s="25"/>
    </row>
    <row r="345" spans="3:3" ht="14.4" x14ac:dyDescent="0.3">
      <c r="C345" s="25"/>
    </row>
    <row r="346" spans="3:3" ht="14.4" x14ac:dyDescent="0.3">
      <c r="C346" s="25"/>
    </row>
    <row r="347" spans="3:3" ht="14.4" x14ac:dyDescent="0.3">
      <c r="C347" s="25"/>
    </row>
    <row r="348" spans="3:3" ht="14.4" x14ac:dyDescent="0.3">
      <c r="C348" s="25"/>
    </row>
    <row r="349" spans="3:3" ht="14.4" x14ac:dyDescent="0.3">
      <c r="C349" s="25"/>
    </row>
    <row r="350" spans="3:3" ht="14.4" x14ac:dyDescent="0.3">
      <c r="C350" s="25"/>
    </row>
    <row r="351" spans="3:3" ht="14.4" x14ac:dyDescent="0.3">
      <c r="C351" s="25"/>
    </row>
    <row r="352" spans="3:3" ht="14.4" x14ac:dyDescent="0.3">
      <c r="C352" s="25"/>
    </row>
    <row r="353" spans="1:16" ht="14.4" x14ac:dyDescent="0.3">
      <c r="C353" s="25"/>
    </row>
    <row r="354" spans="1:16" ht="14.4" x14ac:dyDescent="0.3">
      <c r="C354" s="25"/>
    </row>
    <row r="355" spans="1:16" ht="14.4" x14ac:dyDescent="0.3">
      <c r="C355" s="25"/>
    </row>
    <row r="356" spans="1:16" ht="14.4" x14ac:dyDescent="0.3">
      <c r="C356" s="25"/>
    </row>
    <row r="357" spans="1:16" ht="14.4" x14ac:dyDescent="0.3">
      <c r="C357" s="25"/>
    </row>
    <row r="358" spans="1:16" ht="14.4" x14ac:dyDescent="0.3">
      <c r="C358" s="25"/>
    </row>
    <row r="359" spans="1:16" ht="14.4" x14ac:dyDescent="0.3">
      <c r="C359" s="25"/>
    </row>
    <row r="360" spans="1:16" ht="14.4" x14ac:dyDescent="0.3">
      <c r="A360" s="26"/>
      <c r="C360" s="25"/>
      <c r="E360" s="26" t="s">
        <v>976</v>
      </c>
      <c r="G360" s="26"/>
      <c r="O360" s="26"/>
      <c r="P360" s="26"/>
    </row>
    <row r="361" spans="1:16" ht="14.4" x14ac:dyDescent="0.3">
      <c r="C361" s="25"/>
    </row>
    <row r="362" spans="1:16" ht="14.4" x14ac:dyDescent="0.3">
      <c r="C362" s="25"/>
    </row>
    <row r="363" spans="1:16" ht="14.4" x14ac:dyDescent="0.3">
      <c r="C363" s="25"/>
    </row>
    <row r="364" spans="1:16" ht="14.4" x14ac:dyDescent="0.3">
      <c r="C364" s="25"/>
    </row>
    <row r="365" spans="1:16" ht="14.4" x14ac:dyDescent="0.3">
      <c r="C365" s="25"/>
    </row>
    <row r="366" spans="1:16" ht="14.4" x14ac:dyDescent="0.3">
      <c r="C366" s="25"/>
    </row>
    <row r="367" spans="1:16" ht="14.4" x14ac:dyDescent="0.3">
      <c r="C367" s="25"/>
    </row>
    <row r="368" spans="1:16" ht="14.4" x14ac:dyDescent="0.3">
      <c r="C368" s="25"/>
    </row>
    <row r="369" spans="3:3" ht="14.4" x14ac:dyDescent="0.3">
      <c r="C369" s="25"/>
    </row>
    <row r="370" spans="3:3" ht="14.4" x14ac:dyDescent="0.3">
      <c r="C370" s="31"/>
    </row>
  </sheetData>
  <autoFilter ref="A2:AI172" xr:uid="{EC4FD4C2-530B-487D-9E8C-B69D5F3A642B}"/>
  <mergeCells count="35">
    <mergeCell ref="F1:F2"/>
    <mergeCell ref="A1:A2"/>
    <mergeCell ref="B1:B2"/>
    <mergeCell ref="C1:C2"/>
    <mergeCell ref="D1:D2"/>
    <mergeCell ref="E1:E2"/>
    <mergeCell ref="R1:R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AD1:AD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E1:AE2"/>
    <mergeCell ref="AF1:AF2"/>
    <mergeCell ref="AG1:AG2"/>
    <mergeCell ref="AH1:AH2"/>
    <mergeCell ref="AI1:AI2"/>
  </mergeCells>
  <conditionalFormatting sqref="B1 B3:B171 B326:B342 B434:B64994">
    <cfRule type="expression" dxfId="2783" priority="122" stopIfTrue="1">
      <formula>AND(COUNTIF($B$434:$B$64994, B1)+COUNTIF($B$1:$B$342, B1)&gt;1,NOT(ISBLANK(B1)))</formula>
    </cfRule>
  </conditionalFormatting>
  <conditionalFormatting sqref="B1">
    <cfRule type="expression" dxfId="2782" priority="2551" stopIfTrue="1">
      <formula>AND(COUNTIF(#REF!, B1)+COUNTIF($B$1:$B$5, B1)+COUNTIF($B$11:$B$13, B1)&gt;1,NOT(ISBLANK(B1)))</formula>
    </cfRule>
    <cfRule type="duplicateValues" dxfId="2781" priority="2546"/>
    <cfRule type="duplicateValues" dxfId="2780" priority="2542" stopIfTrue="1"/>
    <cfRule type="expression" dxfId="2779" priority="2543" stopIfTrue="1">
      <formula>AND(COUNTIF($B$1:$B$1, B1)+COUNTIF($B$5:$B$5, B1)&gt;1,NOT(ISBLANK(B1)))</formula>
    </cfRule>
    <cfRule type="duplicateValues" dxfId="2778" priority="2544"/>
    <cfRule type="duplicateValues" dxfId="2777" priority="2545"/>
    <cfRule type="duplicateValues" dxfId="2776" priority="2547"/>
    <cfRule type="duplicateValues" dxfId="2775" priority="2548"/>
    <cfRule type="expression" dxfId="2774" priority="2549" stopIfTrue="1">
      <formula>AND(COUNTIF(#REF!, B1)+COUNTIF($B$1:$B$5, B1)&gt;1,NOT(ISBLANK(B1)))</formula>
    </cfRule>
    <cfRule type="expression" dxfId="2773" priority="2550" stopIfTrue="1">
      <formula>AND(COUNTIF(#REF!, B1)+COUNTIF($B$1:$B$5, B1)+COUNTIF($B$11:$B$12, B1)&gt;1,NOT(ISBLANK(B1)))</formula>
    </cfRule>
  </conditionalFormatting>
  <conditionalFormatting sqref="B3:B171">
    <cfRule type="duplicateValues" dxfId="2772" priority="2242" stopIfTrue="1"/>
    <cfRule type="duplicateValues" dxfId="2771" priority="2241" stopIfTrue="1"/>
    <cfRule type="duplicateValues" dxfId="2770" priority="2240" stopIfTrue="1"/>
    <cfRule type="duplicateValues" dxfId="2769" priority="2254" stopIfTrue="1"/>
    <cfRule type="duplicateValues" dxfId="2768" priority="2251"/>
    <cfRule type="duplicateValues" dxfId="2767" priority="2252" stopIfTrue="1"/>
    <cfRule type="duplicateValues" dxfId="2766" priority="2253" stopIfTrue="1"/>
    <cfRule type="duplicateValues" dxfId="2765" priority="2255" stopIfTrue="1"/>
    <cfRule type="duplicateValues" dxfId="2764" priority="2256" stopIfTrue="1"/>
    <cfRule type="duplicateValues" dxfId="2763" priority="2257"/>
    <cfRule type="duplicateValues" dxfId="2762" priority="2258"/>
    <cfRule type="duplicateValues" dxfId="2761" priority="2259"/>
    <cfRule type="duplicateValues" dxfId="2760" priority="2260"/>
    <cfRule type="duplicateValues" dxfId="2759" priority="2261"/>
    <cfRule type="duplicateValues" dxfId="2758" priority="2262"/>
    <cfRule type="duplicateValues" dxfId="2757" priority="2263"/>
    <cfRule type="duplicateValues" dxfId="2756" priority="2264" stopIfTrue="1"/>
    <cfRule type="expression" dxfId="2755" priority="2265" stopIfTrue="1">
      <formula>#REF!="ABANDONO"</formula>
    </cfRule>
    <cfRule type="expression" dxfId="2754" priority="2266" stopIfTrue="1">
      <formula>#REF!="FINALIZADO"</formula>
    </cfRule>
    <cfRule type="expression" dxfId="2753" priority="2268" stopIfTrue="1">
      <formula>#REF!="DESAPROBADO"</formula>
    </cfRule>
    <cfRule type="duplicateValues" dxfId="2752" priority="2269" stopIfTrue="1"/>
    <cfRule type="duplicateValues" dxfId="2751" priority="2243" stopIfTrue="1"/>
    <cfRule type="duplicateValues" dxfId="2750" priority="2250"/>
    <cfRule type="duplicateValues" dxfId="2749" priority="2249"/>
    <cfRule type="duplicateValues" dxfId="2748" priority="2248"/>
    <cfRule type="duplicateValues" dxfId="2747" priority="2247"/>
    <cfRule type="expression" dxfId="2746" priority="2270" stopIfTrue="1">
      <formula>AND(COUNTIF(#REF!, B3)+COUNTIF($B$1:$B$18, B3)&gt;1,NOT(ISBLANK(B3)))</formula>
    </cfRule>
    <cfRule type="duplicateValues" dxfId="2745" priority="2246"/>
    <cfRule type="duplicateValues" dxfId="2744" priority="2245"/>
    <cfRule type="duplicateValues" dxfId="2743" priority="2244" stopIfTrue="1"/>
    <cfRule type="duplicateValues" dxfId="2742" priority="2239" stopIfTrue="1"/>
    <cfRule type="expression" dxfId="2741" priority="2267" stopIfTrue="1">
      <formula>#REF!="EN PROCESO"</formula>
    </cfRule>
  </conditionalFormatting>
  <conditionalFormatting sqref="B172">
    <cfRule type="duplicateValues" dxfId="2740" priority="39"/>
    <cfRule type="duplicateValues" dxfId="2739" priority="40"/>
    <cfRule type="duplicateValues" dxfId="2738" priority="41"/>
    <cfRule type="duplicateValues" dxfId="2737" priority="42"/>
    <cfRule type="duplicateValues" dxfId="2736" priority="44" stopIfTrue="1"/>
    <cfRule type="expression" dxfId="2735" priority="45" stopIfTrue="1">
      <formula>#REF!="ABANDONO"</formula>
    </cfRule>
    <cfRule type="expression" dxfId="2734" priority="46" stopIfTrue="1">
      <formula>#REF!="FINALIZADO"</formula>
    </cfRule>
    <cfRule type="expression" dxfId="2733" priority="47" stopIfTrue="1">
      <formula>#REF!="EN PROCESO"</formula>
    </cfRule>
    <cfRule type="expression" dxfId="2732" priority="48" stopIfTrue="1">
      <formula>#REF!="DESAPROBADO"</formula>
    </cfRule>
    <cfRule type="duplicateValues" dxfId="2731" priority="49" stopIfTrue="1"/>
    <cfRule type="expression" dxfId="2730" priority="50" stopIfTrue="1">
      <formula>AND(COUNTIF(#REF!, B172)+COUNTIF($B$1:$B$18, B172)&gt;1,NOT(ISBLANK(B172)))</formula>
    </cfRule>
    <cfRule type="duplicateValues" dxfId="2729" priority="51"/>
    <cfRule type="duplicateValues" dxfId="2728" priority="27"/>
    <cfRule type="duplicateValues" dxfId="2727" priority="14"/>
    <cfRule type="duplicateValues" dxfId="2726" priority="9"/>
    <cfRule type="duplicateValues" dxfId="2725" priority="10"/>
    <cfRule type="duplicateValues" dxfId="2724" priority="11"/>
    <cfRule type="duplicateValues" dxfId="2723" priority="12"/>
    <cfRule type="duplicateValues" dxfId="2722" priority="13"/>
    <cfRule type="expression" dxfId="2721" priority="15" stopIfTrue="1">
      <formula>AND(COUNTIF($B$444:$B$65004, B172)+COUNTIF($B$1:$B$352, B172)&gt;1,NOT(ISBLANK(B172)))</formula>
    </cfRule>
    <cfRule type="duplicateValues" dxfId="2720" priority="16"/>
    <cfRule type="duplicateValues" dxfId="2719" priority="17"/>
    <cfRule type="duplicateValues" dxfId="2718" priority="18"/>
    <cfRule type="duplicateValues" dxfId="2717" priority="19" stopIfTrue="1"/>
    <cfRule type="duplicateValues" dxfId="2716" priority="20" stopIfTrue="1"/>
    <cfRule type="duplicateValues" dxfId="2715" priority="21" stopIfTrue="1"/>
    <cfRule type="duplicateValues" dxfId="2714" priority="22" stopIfTrue="1"/>
    <cfRule type="duplicateValues" dxfId="2713" priority="23" stopIfTrue="1"/>
    <cfRule type="duplicateValues" dxfId="2712" priority="24" stopIfTrue="1"/>
    <cfRule type="duplicateValues" dxfId="2711" priority="43"/>
    <cfRule type="duplicateValues" dxfId="2710" priority="25"/>
    <cfRule type="duplicateValues" dxfId="2709" priority="26"/>
    <cfRule type="duplicateValues" dxfId="2708" priority="28"/>
    <cfRule type="duplicateValues" dxfId="2707" priority="29"/>
    <cfRule type="duplicateValues" dxfId="2706" priority="30"/>
    <cfRule type="duplicateValues" dxfId="2705" priority="31"/>
    <cfRule type="duplicateValues" dxfId="2704" priority="32" stopIfTrue="1"/>
    <cfRule type="duplicateValues" dxfId="2703" priority="33" stopIfTrue="1"/>
    <cfRule type="duplicateValues" dxfId="2702" priority="34" stopIfTrue="1"/>
    <cfRule type="duplicateValues" dxfId="2701" priority="35" stopIfTrue="1"/>
    <cfRule type="duplicateValues" dxfId="2700" priority="36" stopIfTrue="1"/>
    <cfRule type="duplicateValues" dxfId="2699" priority="37"/>
    <cfRule type="duplicateValues" dxfId="2698" priority="38"/>
  </conditionalFormatting>
  <conditionalFormatting sqref="B173:B181">
    <cfRule type="duplicateValues" dxfId="2697" priority="109"/>
  </conditionalFormatting>
  <conditionalFormatting sqref="B173:B1048576 B1:B171">
    <cfRule type="duplicateValues" dxfId="2696" priority="107"/>
    <cfRule type="duplicateValues" dxfId="2695" priority="108"/>
  </conditionalFormatting>
  <conditionalFormatting sqref="B204:B1048576 B1:B171">
    <cfRule type="duplicateValues" dxfId="2694" priority="126"/>
    <cfRule type="duplicateValues" dxfId="2693" priority="159"/>
    <cfRule type="duplicateValues" dxfId="2692" priority="110"/>
    <cfRule type="duplicateValues" dxfId="2691" priority="111"/>
    <cfRule type="duplicateValues" dxfId="2690" priority="112"/>
  </conditionalFormatting>
  <conditionalFormatting sqref="B326:B1048576 B1 B3:B171">
    <cfRule type="duplicateValues" dxfId="2689" priority="124"/>
  </conditionalFormatting>
  <conditionalFormatting sqref="B326:B1048576 B1:B171">
    <cfRule type="duplicateValues" dxfId="2688" priority="125"/>
    <cfRule type="duplicateValues" dxfId="2687" priority="113"/>
  </conditionalFormatting>
  <conditionalFormatting sqref="B343:B433">
    <cfRule type="duplicateValues" dxfId="2686" priority="123" stopIfTrue="1"/>
  </conditionalFormatting>
  <conditionalFormatting sqref="C3:F172">
    <cfRule type="expression" dxfId="2685" priority="55" stopIfTrue="1">
      <formula>#REF!="ABANDONO"</formula>
    </cfRule>
    <cfRule type="expression" dxfId="2684" priority="54" stopIfTrue="1">
      <formula>#REF!="DESAPROBADO"</formula>
    </cfRule>
    <cfRule type="expression" dxfId="2683" priority="53" stopIfTrue="1">
      <formula>#REF!="EN PROCESO"</formula>
    </cfRule>
    <cfRule type="expression" dxfId="2682" priority="52" stopIfTrue="1">
      <formula>#REF!="FINALIZADO"</formula>
    </cfRule>
  </conditionalFormatting>
  <conditionalFormatting sqref="H3:H172">
    <cfRule type="expression" dxfId="2681" priority="1" stopIfTrue="1">
      <formula>#REF!="FINALIZADO"</formula>
    </cfRule>
    <cfRule type="expression" dxfId="2680" priority="4" stopIfTrue="1">
      <formula>#REF!="ABANDONO"</formula>
    </cfRule>
    <cfRule type="expression" dxfId="2679" priority="3" stopIfTrue="1">
      <formula>#REF!="DESAPROBADO"</formula>
    </cfRule>
    <cfRule type="expression" dxfId="2678" priority="2" stopIfTrue="1">
      <formula>#REF!="EN PROCESO"</formula>
    </cfRule>
  </conditionalFormatting>
  <conditionalFormatting sqref="P3:P172 AI3:AI172">
    <cfRule type="expression" dxfId="2677" priority="8" stopIfTrue="1">
      <formula>#REF!="DESAPROBADO"</formula>
    </cfRule>
    <cfRule type="expression" dxfId="2676" priority="7" stopIfTrue="1">
      <formula>#REF!="EN PROCESO"</formula>
    </cfRule>
    <cfRule type="expression" dxfId="2675" priority="6" stopIfTrue="1">
      <formula>#REF!="FINALIZADO"</formula>
    </cfRule>
    <cfRule type="expression" dxfId="2674" priority="5" stopIfTrue="1">
      <formula>#REF!="ABANDONO"</formula>
    </cfRule>
  </conditionalFormatting>
  <hyperlinks>
    <hyperlink ref="D36" r:id="rId1" xr:uid="{AEA2B02E-AD6F-4BA8-BBD5-8E0D37A9B284}"/>
    <hyperlink ref="D11" r:id="rId2" xr:uid="{63AF00AE-E06A-477A-A0F9-BDDC43D45920}"/>
    <hyperlink ref="D106" r:id="rId3" xr:uid="{1D0508E4-51D8-4101-8DA1-0E9D235876B1}"/>
    <hyperlink ref="D47" r:id="rId4" xr:uid="{B5ABC8FE-231F-4ABF-A324-80C298E19C74}"/>
    <hyperlink ref="D55" r:id="rId5" xr:uid="{C97B8377-BB59-48CA-B8F4-AF137B49489A}"/>
    <hyperlink ref="D114" r:id="rId6" xr:uid="{768A8B43-C314-4DA8-9EB2-48397659D5B4}"/>
    <hyperlink ref="D123" r:id="rId7" xr:uid="{EE32EA8E-7411-4A31-BE65-FF2B1B018316}"/>
    <hyperlink ref="D102" r:id="rId8" xr:uid="{24886B2D-D770-4AF8-ABF1-EA903EE8DDF7}"/>
    <hyperlink ref="D17" r:id="rId9" xr:uid="{3AE90BB5-E6CF-48AA-B5FB-66633B079427}"/>
    <hyperlink ref="D37" r:id="rId10" xr:uid="{00A64F6C-EE6E-4A51-9CE9-A891CF1E5D46}"/>
    <hyperlink ref="D42" r:id="rId11" xr:uid="{CFA42FF0-3684-4A62-AA0C-FBC447D5A039}"/>
    <hyperlink ref="D61" r:id="rId12" xr:uid="{7B1FDB32-0909-43CB-8680-82ADFA31FA90}"/>
    <hyperlink ref="D65" r:id="rId13" xr:uid="{4ABEEBF3-3E2D-4132-9307-E3D5B1F06E54}"/>
    <hyperlink ref="D68" r:id="rId14" xr:uid="{34A43658-C4C7-41CA-9DB3-184711289CBC}"/>
    <hyperlink ref="D76" r:id="rId15" xr:uid="{B83D2550-F612-4E36-A615-3A08885E36F7}"/>
    <hyperlink ref="D104" r:id="rId16" xr:uid="{AEECEEE9-7260-4CBC-BA94-2F73B3C73C5D}"/>
    <hyperlink ref="D77" r:id="rId17" xr:uid="{B9D925BE-84AF-4443-B6DE-AD77F52F9D0B}"/>
    <hyperlink ref="D98" r:id="rId18" xr:uid="{9A282D89-AB34-4627-B0AC-FF15EF2A9721}"/>
    <hyperlink ref="D99" r:id="rId19" xr:uid="{959C7110-0A32-47BB-BF70-7E85CB5B577E}"/>
    <hyperlink ref="D113" r:id="rId20" xr:uid="{9C866FFC-1A87-42DD-889B-94675B254232}"/>
    <hyperlink ref="D116" r:id="rId21" xr:uid="{D340819F-9D0D-4F2E-A3CD-7D5CD90FF254}"/>
    <hyperlink ref="D125" r:id="rId22" xr:uid="{F06B4555-D06C-450A-86A7-E140130DC7D8}"/>
    <hyperlink ref="D131" r:id="rId23" xr:uid="{51017F58-5FEB-4B7B-9D75-2844344A7A69}"/>
    <hyperlink ref="D138" r:id="rId24" xr:uid="{3243B042-1AF5-48B4-BFF8-2AAA1FBBF6F3}"/>
    <hyperlink ref="D139" r:id="rId25" xr:uid="{E05074CF-F0E8-4A37-9359-23EA72048D6F}"/>
    <hyperlink ref="D151" r:id="rId26" xr:uid="{98827F99-C517-42CD-A393-F8B1ED9B6E75}"/>
    <hyperlink ref="D153" r:id="rId27" xr:uid="{93A2900C-885B-4F2E-A311-B8B1382A6223}"/>
    <hyperlink ref="D155" r:id="rId28" xr:uid="{24E251B0-3B03-4F03-947E-E808D11BDC2E}"/>
    <hyperlink ref="D168" r:id="rId29" xr:uid="{477D2124-2619-4DB1-B018-98D4FC4A44A7}"/>
    <hyperlink ref="D119" r:id="rId30" xr:uid="{C9227A0B-16BA-466B-89A8-D85568FE776F}"/>
    <hyperlink ref="D121" r:id="rId31" xr:uid="{EDC0E79B-41F0-49D5-A0B6-DE658FDAC430}"/>
    <hyperlink ref="D5" r:id="rId32" xr:uid="{BC4DB91A-6CD2-48A3-A378-B35D8868E13E}"/>
    <hyperlink ref="D49" r:id="rId33" xr:uid="{3D986692-6F5A-4CFB-ACA7-647B7CE34F46}"/>
    <hyperlink ref="D105" r:id="rId34" xr:uid="{22A267CE-0EF5-4F89-8103-BA9D382E414D}"/>
    <hyperlink ref="D67" r:id="rId35" xr:uid="{E398DE59-E172-45B3-A0FB-11BA6ECC3375}"/>
    <hyperlink ref="D145" r:id="rId36" xr:uid="{5D2EE25A-0964-4058-AD6D-5744F17B635C}"/>
    <hyperlink ref="D30" r:id="rId37" xr:uid="{9A388D12-DBF2-49D2-9781-C77D16BADC2F}"/>
    <hyperlink ref="D85" r:id="rId38" xr:uid="{2A81FD89-8F97-4B49-9576-A74C42663C30}"/>
    <hyperlink ref="D39" r:id="rId39" xr:uid="{DD69D363-AEB0-4A49-87D9-A881AA5A9585}"/>
    <hyperlink ref="D166" r:id="rId40" xr:uid="{3A50D1C4-A51D-4D2C-BA13-491F41E08610}"/>
    <hyperlink ref="D64" r:id="rId41" xr:uid="{37DFF10A-3AF4-45AD-8F38-A5419B3D01CE}"/>
    <hyperlink ref="D38" r:id="rId42" xr:uid="{B4D16E71-2FF3-4E55-AF9F-0112E328EDAB}"/>
    <hyperlink ref="D95" r:id="rId43" xr:uid="{EDA05768-C081-475F-93F3-5A3C867F16CD}"/>
    <hyperlink ref="D143" r:id="rId44" xr:uid="{AE4CFD27-718D-43B0-BDA1-F8854B6B1106}"/>
    <hyperlink ref="D40" r:id="rId45" xr:uid="{9E5497D3-1540-4792-9376-82395A42E13E}"/>
    <hyperlink ref="D111" r:id="rId46" xr:uid="{B04BE271-1E4A-4479-BB71-06FD54C5F72D}"/>
    <hyperlink ref="D144" r:id="rId47" xr:uid="{C9AB0BD1-48F7-46A2-9A8E-44BB65B8C619}"/>
    <hyperlink ref="D75" r:id="rId48" xr:uid="{1D6A9F1A-51D9-4A7F-A99F-ADD2D20D9283}"/>
    <hyperlink ref="D31" r:id="rId49" xr:uid="{69002DAC-6FC7-4B1E-BA07-812FE6A1C698}"/>
    <hyperlink ref="D84" r:id="rId50" xr:uid="{280FEC52-ADAE-4435-8BD0-332BD7B3884F}"/>
    <hyperlink ref="D118" r:id="rId51" xr:uid="{6F8E30BB-06F6-48E2-ACFC-C71C1545082D}"/>
    <hyperlink ref="D50" r:id="rId52" xr:uid="{2F431886-42DB-424D-9061-DAAED4112571}"/>
    <hyperlink ref="D13" r:id="rId53" xr:uid="{57EEEF3F-0E7A-4E72-8735-CC4334A20515}"/>
    <hyperlink ref="D86" r:id="rId54" xr:uid="{64A85770-1794-41F4-8E46-628A830572D0}"/>
    <hyperlink ref="D161" r:id="rId55" xr:uid="{BFB42ED9-F7A4-40E8-9A19-736B30F640BC}"/>
    <hyperlink ref="D149" r:id="rId56" xr:uid="{07738D4F-4301-4CA7-8958-00B0709CE785}"/>
    <hyperlink ref="D109" r:id="rId57" xr:uid="{87CBA68D-B366-4BDA-BE09-26FCA6D39859}"/>
    <hyperlink ref="D73" r:id="rId58" xr:uid="{74A18062-857C-4E9E-9418-D53240E9603F}"/>
    <hyperlink ref="D129" r:id="rId59" xr:uid="{2F263626-05F1-4405-AFF3-04434532DEE5}"/>
    <hyperlink ref="D60" r:id="rId60" xr:uid="{D3404F04-2FD5-45B7-B6DF-E5F801A80AE1}"/>
    <hyperlink ref="D162" r:id="rId61" xr:uid="{B61B4F84-5AFB-476B-BBC3-0A027EA8CAA7}"/>
    <hyperlink ref="D44" r:id="rId62" xr:uid="{AC01B611-777E-42A4-9031-F85C99D910DC}"/>
    <hyperlink ref="D160" r:id="rId63" xr:uid="{E0F0839D-6BDD-44E5-A7F9-ED2FDF5EA2BC}"/>
    <hyperlink ref="D9" r:id="rId64" xr:uid="{D741C900-1F49-435A-AD17-5724454BC2E9}"/>
    <hyperlink ref="D142" r:id="rId65" xr:uid="{D77950AE-090A-46A0-BA2E-6EAEF2E40622}"/>
    <hyperlink ref="D100" r:id="rId66" xr:uid="{502072B3-98D5-441D-9C98-9FF7A7F3D0E0}"/>
    <hyperlink ref="D57" r:id="rId67" xr:uid="{2312CFBF-2A21-4756-8FD9-EC43CCBE34A7}"/>
    <hyperlink ref="D66" r:id="rId68" xr:uid="{9111372A-C1E2-4E0E-B9B3-5FF47B33F4C8}"/>
    <hyperlink ref="D108" r:id="rId69" xr:uid="{6DC2ACEE-D0AA-49BB-81E8-5816333B3208}"/>
    <hyperlink ref="D51" r:id="rId70" xr:uid="{9B968A75-5745-43BC-B835-A17045BFBC78}"/>
    <hyperlink ref="D90" r:id="rId71" xr:uid="{D521051B-8C5C-40EE-86E1-C539E969DCED}"/>
    <hyperlink ref="D89" r:id="rId72" xr:uid="{6A2877A1-8804-4353-9F07-68162B486DCF}"/>
    <hyperlink ref="D107" r:id="rId73" xr:uid="{06F375F3-B0DF-4CAF-8674-BA685C2908A2}"/>
    <hyperlink ref="D7" r:id="rId74" xr:uid="{19FAD263-20BD-4425-A4B1-AE05C2EF0F79}"/>
    <hyperlink ref="D32" r:id="rId75" xr:uid="{D17D70F2-1C66-4AEF-8D14-AB2DCE5638FD}"/>
    <hyperlink ref="D140" r:id="rId76" xr:uid="{1F8E6F5C-803E-416D-ADEA-5EAA0CDE9EC8}"/>
    <hyperlink ref="D54" r:id="rId77" xr:uid="{CB47F919-3B81-498D-AE38-E473F93B7F1F}"/>
    <hyperlink ref="D24" r:id="rId78" xr:uid="{7ABE206D-B181-4D1F-A257-3A3493EB8A77}"/>
    <hyperlink ref="D135" r:id="rId79" xr:uid="{61B5C6AE-3834-4056-A176-A664FAB59C55}"/>
    <hyperlink ref="D23" r:id="rId80" xr:uid="{E3736F73-23E3-4AFD-9C39-51C37502246B}"/>
    <hyperlink ref="D172" r:id="rId81" xr:uid="{0D232874-DF28-4ADA-B990-6512AA52FD7C}"/>
    <hyperlink ref="D122" r:id="rId82" xr:uid="{DDB9272C-DCFC-4FE9-B2DC-ACAFD8D11246}"/>
    <hyperlink ref="D81" r:id="rId83" xr:uid="{842A3E1A-7E4F-4736-89CB-5BA004448987}"/>
    <hyperlink ref="D4" r:id="rId84" xr:uid="{BB244A5E-FE57-4147-9EBC-A9CDCD421364}"/>
    <hyperlink ref="D130" r:id="rId85" xr:uid="{2880A53C-4188-41BB-B2C6-43B2E595DE96}"/>
    <hyperlink ref="D134" r:id="rId86" xr:uid="{44DDAE72-2D3C-43FC-A88D-391B2C05A3DC}"/>
    <hyperlink ref="D167" r:id="rId87" xr:uid="{4EA957FA-B083-45B9-A454-D70563E3340C}"/>
    <hyperlink ref="D133" r:id="rId88" xr:uid="{31578895-8B8D-4AB2-9FEA-A33F2472D89F}"/>
    <hyperlink ref="D112" r:id="rId89" xr:uid="{CD8DC2BD-3044-4731-A314-C5DDAB2DBB33}"/>
    <hyperlink ref="D69" r:id="rId90" xr:uid="{9C99E725-526C-44B1-BBC7-8E4C714F79E4}"/>
    <hyperlink ref="D46" r:id="rId91" xr:uid="{952C272B-5E59-4B27-9410-877ED4EC43CF}"/>
    <hyperlink ref="D29" r:id="rId92" xr:uid="{FF1BE9DF-782E-4342-B244-8F36C8ED1D48}"/>
    <hyperlink ref="D28" r:id="rId93" xr:uid="{73EB64E2-B772-4220-98AE-5F45D876AE6F}"/>
    <hyperlink ref="D126" r:id="rId94" xr:uid="{8ACE6719-B479-49D6-8BCE-A13A580A2201}"/>
    <hyperlink ref="D132" r:id="rId95" xr:uid="{E01962AC-C007-4734-A30D-2F41E12922D9}"/>
    <hyperlink ref="D154" r:id="rId96" xr:uid="{8498E9C2-03CE-4A51-82A5-D2E42F9E42AF}"/>
    <hyperlink ref="D128" r:id="rId97" xr:uid="{DDBE7AAD-7575-4058-83F9-2EAF024BFF03}"/>
    <hyperlink ref="D16" r:id="rId98" xr:uid="{7A622FC2-A84E-47D7-9C0B-D968809A54E0}"/>
    <hyperlink ref="D59" r:id="rId99" xr:uid="{DABB3616-A5CF-4AF1-A519-6BFDF61237C2}"/>
    <hyperlink ref="D159" r:id="rId100" xr:uid="{FB58F15C-D9ED-4BE1-9F5C-FB4F8D3EBC11}"/>
    <hyperlink ref="D21" r:id="rId101" xr:uid="{B1DFFBF4-BBEB-4C00-8A3F-E22D9AAC3B62}"/>
    <hyperlink ref="D80" r:id="rId102" xr:uid="{C844895D-2FD8-4706-8305-E5FEB998432F}"/>
    <hyperlink ref="D6" r:id="rId103" xr:uid="{F928600D-840F-459F-9A93-943AA6A21479}"/>
    <hyperlink ref="D110" r:id="rId104" xr:uid="{F0D69409-6A97-4622-89D1-2E9089583900}"/>
    <hyperlink ref="D35" r:id="rId105" xr:uid="{94B17E35-D6D3-45EC-8C36-11B50737EE2B}"/>
    <hyperlink ref="D165" r:id="rId106" xr:uid="{85D7A01F-DE22-48BF-99C8-838ACC24B996}"/>
    <hyperlink ref="D88" r:id="rId107" xr:uid="{66CCC0ED-1532-41AD-A0A1-6146633D68BC}"/>
    <hyperlink ref="D101" r:id="rId108" xr:uid="{90AE52B3-C023-4856-AFCF-6FD8260EEA82}"/>
    <hyperlink ref="D74" r:id="rId109" xr:uid="{34971934-E73E-4142-90F3-4B1EDFB849B8}"/>
    <hyperlink ref="D148" r:id="rId110" xr:uid="{C60995A0-86E9-4E02-AE8E-5C986633A5DD}"/>
    <hyperlink ref="D170" r:id="rId111" xr:uid="{2A496FE0-CE27-486F-A1B4-446F91AA0F78}"/>
    <hyperlink ref="D150" r:id="rId112" xr:uid="{3864DE0D-B6B4-48BE-8676-BACB82E7A8CE}"/>
    <hyperlink ref="D87" r:id="rId113" xr:uid="{F16F7110-B080-4B58-BF10-A96C2344215D}"/>
    <hyperlink ref="D157" r:id="rId114" xr:uid="{0F74BB7D-9084-4B68-AACA-0242F9AF4A12}"/>
    <hyperlink ref="D33" r:id="rId115" xr:uid="{2777FA2F-902F-4969-B32E-6C4CF7FBFFCA}"/>
    <hyperlink ref="D164" r:id="rId116" xr:uid="{FE5455CE-7093-4A32-81AA-50CAC4798079}"/>
    <hyperlink ref="D63" r:id="rId117" xr:uid="{A17A99F2-C36C-4C9B-82F0-8170255A16C0}"/>
    <hyperlink ref="D93" r:id="rId118" xr:uid="{DCCCD39F-1413-4236-808D-648D0C62AB9F}"/>
    <hyperlink ref="D10" r:id="rId119" xr:uid="{CFB116CB-AA16-4670-87D2-90B0BBC3FBF2}"/>
    <hyperlink ref="D124" r:id="rId120" xr:uid="{37A6E67B-D802-476C-B3B3-711A63C2D5E9}"/>
    <hyperlink ref="D103" r:id="rId121" xr:uid="{7D9D8AF5-6279-4329-B2B9-DDCADD2EC6A8}"/>
    <hyperlink ref="D78" r:id="rId122" xr:uid="{7A3DC7F9-3567-45B5-B021-F66F4EF2EBA2}"/>
    <hyperlink ref="D15" r:id="rId123" xr:uid="{C74B8EBD-47AE-4FD4-AC6D-F7F35010AE58}"/>
    <hyperlink ref="D83" r:id="rId124" xr:uid="{DA33010B-FD11-439C-A5EF-184BDD6F4A6E}"/>
    <hyperlink ref="D19" r:id="rId125" xr:uid="{F8BD818F-8AF7-40AE-84EF-3084EEA220BF}"/>
    <hyperlink ref="D146" r:id="rId126" xr:uid="{46A987DB-7CDC-4197-85EA-41648EDAE50E}"/>
    <hyperlink ref="D152" r:id="rId127" xr:uid="{1F5F54F3-F9FE-49A9-83CD-CD4E3ADE0ACC}"/>
    <hyperlink ref="D97" r:id="rId128" xr:uid="{96AE8D71-05D4-49D9-86CD-D5969C130269}"/>
    <hyperlink ref="D137" r:id="rId129" xr:uid="{157BF01C-7BD2-4209-8D70-071390A6E17C}"/>
    <hyperlink ref="D71" r:id="rId130" xr:uid="{08A4481C-CFB8-4249-8478-EA309636C01D}"/>
    <hyperlink ref="D20" r:id="rId131" xr:uid="{8C615F4A-522B-46CB-B836-F5FBF65CF8FE}"/>
    <hyperlink ref="D82" r:id="rId132" xr:uid="{4671234D-99F5-4222-ACC4-578235956194}"/>
    <hyperlink ref="D3" r:id="rId133" xr:uid="{CC7B0478-CEBD-4003-B019-450AA8AF45AF}"/>
    <hyperlink ref="D96" r:id="rId134" xr:uid="{32E8604B-B2E0-479D-B891-EA64641F1AFB}"/>
    <hyperlink ref="D91" r:id="rId135" xr:uid="{FFD39A35-2215-493A-B4E0-67ED445DC835}"/>
    <hyperlink ref="D58" r:id="rId136" xr:uid="{0213FEE3-2F86-40C8-AE4B-4AD2562D6186}"/>
    <hyperlink ref="D156" r:id="rId137" xr:uid="{91AF9B68-3ACE-494B-B904-F22938603F81}"/>
    <hyperlink ref="D158" r:id="rId138" xr:uid="{798F9952-7341-476C-A04F-CA287BA69174}"/>
    <hyperlink ref="D70" r:id="rId139" xr:uid="{0FC0CC0A-9548-43C9-9D61-2B6B31739C7F}"/>
    <hyperlink ref="D72" r:id="rId140" xr:uid="{374F20FD-947A-4638-8CD4-6E9CB0D32760}"/>
    <hyperlink ref="D18" r:id="rId141" xr:uid="{150BEA2C-AB08-41E9-9E03-239A2178E9F9}"/>
    <hyperlink ref="D26" r:id="rId142" xr:uid="{254D6958-8574-458D-B631-C67187B0321C}"/>
    <hyperlink ref="D127" r:id="rId143" xr:uid="{08254BC9-C2F4-4DAB-995B-6B7A1869F9CB}"/>
    <hyperlink ref="D120" r:id="rId144" xr:uid="{0478021D-1917-44BD-A3E6-8ADE70616564}"/>
  </hyperlinks>
  <pageMargins left="0.7" right="0.7" top="0.75" bottom="0.75" header="0.3" footer="0.3"/>
  <pageSetup orientation="landscape" r:id="rId145"/>
  <legacyDrawing r:id="rId14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C049-4658-4233-87F1-37462B16F7EF}">
  <dimension ref="A2:BC297"/>
  <sheetViews>
    <sheetView zoomScale="120" zoomScaleNormal="120" workbookViewId="0">
      <pane xSplit="3" ySplit="2" topLeftCell="AH296" activePane="bottomRight" state="frozen"/>
      <selection pane="topRight" activeCell="D1" sqref="D1"/>
      <selection pane="bottomLeft" activeCell="A3" sqref="A3"/>
      <selection pane="bottomRight" activeCell="AH296" sqref="AH296"/>
    </sheetView>
  </sheetViews>
  <sheetFormatPr baseColWidth="10" defaultColWidth="8.88671875" defaultRowHeight="14.4" x14ac:dyDescent="0.3"/>
  <cols>
    <col min="1" max="1" width="5.109375" customWidth="1"/>
    <col min="2" max="2" width="11.44140625" customWidth="1"/>
    <col min="3" max="3" width="30" bestFit="1" customWidth="1"/>
    <col min="4" max="4" width="30" customWidth="1"/>
    <col min="5" max="6" width="26.44140625" customWidth="1"/>
    <col min="7" max="7" width="37.88671875" bestFit="1" customWidth="1"/>
    <col min="8" max="8" width="49.33203125" bestFit="1" customWidth="1"/>
    <col min="9" max="225" width="11.44140625" customWidth="1"/>
  </cols>
  <sheetData>
    <row r="2" spans="1:40" s="32" customFormat="1" ht="41.4" customHeight="1" x14ac:dyDescent="0.2">
      <c r="A2" s="3" t="s">
        <v>0</v>
      </c>
      <c r="B2" s="1" t="s">
        <v>1</v>
      </c>
      <c r="C2" s="3" t="s">
        <v>2</v>
      </c>
      <c r="D2" s="3"/>
      <c r="E2" s="2" t="s">
        <v>4</v>
      </c>
      <c r="F2" s="2"/>
      <c r="G2" s="3" t="s">
        <v>977</v>
      </c>
      <c r="H2" s="3" t="s">
        <v>978</v>
      </c>
      <c r="I2" s="3" t="s">
        <v>8</v>
      </c>
      <c r="J2" s="3" t="s">
        <v>9</v>
      </c>
      <c r="K2" s="3"/>
      <c r="L2" s="4" t="s">
        <v>979</v>
      </c>
      <c r="M2" s="4" t="s">
        <v>980</v>
      </c>
      <c r="N2" s="3" t="s">
        <v>981</v>
      </c>
      <c r="O2" s="3" t="s">
        <v>982</v>
      </c>
      <c r="P2" s="3" t="s">
        <v>983</v>
      </c>
      <c r="Q2" s="3" t="s">
        <v>984</v>
      </c>
      <c r="R2" s="3" t="s">
        <v>985</v>
      </c>
      <c r="S2" s="3" t="s">
        <v>986</v>
      </c>
      <c r="T2" s="3" t="s">
        <v>987</v>
      </c>
      <c r="U2" s="3" t="s">
        <v>988</v>
      </c>
      <c r="V2" s="3" t="s">
        <v>989</v>
      </c>
      <c r="W2" s="3" t="s">
        <v>990</v>
      </c>
      <c r="X2" s="3" t="s">
        <v>991</v>
      </c>
      <c r="Y2" s="3" t="s">
        <v>992</v>
      </c>
      <c r="Z2" s="3" t="s">
        <v>993</v>
      </c>
      <c r="AA2" s="3" t="s">
        <v>994</v>
      </c>
      <c r="AB2" s="3" t="s">
        <v>995</v>
      </c>
      <c r="AC2" s="3" t="s">
        <v>996</v>
      </c>
      <c r="AD2" s="3" t="s">
        <v>997</v>
      </c>
      <c r="AE2" s="3" t="s">
        <v>998</v>
      </c>
      <c r="AF2" s="3" t="s">
        <v>999</v>
      </c>
      <c r="AG2" s="3" t="s">
        <v>1000</v>
      </c>
      <c r="AH2" s="3" t="s">
        <v>1001</v>
      </c>
      <c r="AI2" s="3" t="s">
        <v>34</v>
      </c>
      <c r="AJ2" s="3" t="s">
        <v>1002</v>
      </c>
    </row>
    <row r="3" spans="1:40" s="40" customFormat="1" ht="10.199999999999999" x14ac:dyDescent="0.2">
      <c r="A3" s="33">
        <v>3</v>
      </c>
      <c r="B3" s="34" t="s">
        <v>1003</v>
      </c>
      <c r="C3" s="35" t="s">
        <v>1004</v>
      </c>
      <c r="D3" s="35"/>
      <c r="E3" s="36" t="s">
        <v>210</v>
      </c>
      <c r="F3" s="36"/>
      <c r="G3" s="37">
        <v>44918</v>
      </c>
      <c r="H3" s="38">
        <v>44948</v>
      </c>
      <c r="I3" s="39"/>
      <c r="J3" s="39"/>
      <c r="K3" s="39"/>
      <c r="L3" s="37">
        <v>44918</v>
      </c>
      <c r="M3" s="38">
        <v>44948</v>
      </c>
      <c r="N3" s="39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9"/>
      <c r="AA3" s="39"/>
      <c r="AB3" s="36"/>
      <c r="AC3" s="36"/>
      <c r="AD3" s="36"/>
      <c r="AE3" s="36"/>
      <c r="AF3" s="36"/>
      <c r="AG3" s="36"/>
      <c r="AH3" s="36"/>
      <c r="AI3" s="36"/>
      <c r="AJ3" s="36"/>
    </row>
    <row r="4" spans="1:40" s="40" customFormat="1" ht="10.199999999999999" x14ac:dyDescent="0.2">
      <c r="A4" s="33">
        <v>9</v>
      </c>
      <c r="B4" s="34" t="s">
        <v>1005</v>
      </c>
      <c r="C4" s="35" t="s">
        <v>1006</v>
      </c>
      <c r="D4" s="35"/>
      <c r="E4" s="36" t="s">
        <v>1007</v>
      </c>
      <c r="F4" s="36"/>
      <c r="G4" s="36"/>
      <c r="H4" s="36"/>
      <c r="I4" s="36"/>
      <c r="J4" s="36"/>
      <c r="K4" s="36"/>
      <c r="L4" s="37">
        <v>44927</v>
      </c>
      <c r="M4" s="38">
        <v>45107</v>
      </c>
      <c r="N4" s="38">
        <v>45199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9"/>
      <c r="AA4" s="39"/>
      <c r="AB4" s="36"/>
      <c r="AC4" s="36"/>
      <c r="AD4" s="36"/>
      <c r="AE4" s="36"/>
      <c r="AF4" s="36"/>
      <c r="AG4" s="36"/>
      <c r="AH4" s="36"/>
      <c r="AI4" s="36"/>
      <c r="AJ4" s="36"/>
      <c r="AK4" s="41" t="s">
        <v>1008</v>
      </c>
    </row>
    <row r="5" spans="1:40" s="40" customFormat="1" ht="10.199999999999999" x14ac:dyDescent="0.2">
      <c r="A5" s="33">
        <v>12</v>
      </c>
      <c r="B5" s="34" t="s">
        <v>1009</v>
      </c>
      <c r="C5" s="35" t="s">
        <v>1010</v>
      </c>
      <c r="D5" s="35"/>
      <c r="E5" s="36" t="s">
        <v>1011</v>
      </c>
      <c r="F5" s="36"/>
      <c r="G5" s="37">
        <v>44994</v>
      </c>
      <c r="H5" s="38">
        <v>45015</v>
      </c>
      <c r="I5" s="36"/>
      <c r="J5" s="36"/>
      <c r="K5" s="36"/>
      <c r="L5" s="37">
        <v>44994</v>
      </c>
      <c r="M5" s="38">
        <v>45015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9"/>
      <c r="AA5" s="39"/>
      <c r="AB5" s="36"/>
      <c r="AC5" s="36"/>
      <c r="AD5" s="36"/>
      <c r="AE5" s="36"/>
      <c r="AF5" s="36"/>
      <c r="AG5" s="36"/>
      <c r="AH5" s="36"/>
      <c r="AI5" s="36"/>
      <c r="AJ5" s="36"/>
    </row>
    <row r="6" spans="1:40" s="40" customFormat="1" ht="10.199999999999999" x14ac:dyDescent="0.2">
      <c r="A6" s="33">
        <v>35</v>
      </c>
      <c r="B6" s="34" t="s">
        <v>1012</v>
      </c>
      <c r="C6" s="35" t="s">
        <v>1013</v>
      </c>
      <c r="D6" s="35"/>
      <c r="E6" s="36" t="s">
        <v>1014</v>
      </c>
      <c r="F6" s="36"/>
      <c r="G6" s="37">
        <v>44958</v>
      </c>
      <c r="H6" s="38">
        <v>45322</v>
      </c>
      <c r="I6" s="36"/>
      <c r="J6" s="36"/>
      <c r="K6" s="36"/>
      <c r="L6" s="37">
        <v>44958</v>
      </c>
      <c r="M6" s="38">
        <v>45322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9"/>
      <c r="AA6" s="39"/>
      <c r="AB6" s="36"/>
      <c r="AC6" s="36"/>
      <c r="AD6" s="36"/>
      <c r="AE6" s="36"/>
      <c r="AF6" s="36"/>
      <c r="AG6" s="36"/>
      <c r="AH6" s="36"/>
      <c r="AI6" s="36"/>
      <c r="AJ6" s="36"/>
    </row>
    <row r="7" spans="1:40" s="40" customFormat="1" ht="10.199999999999999" x14ac:dyDescent="0.2">
      <c r="A7" s="33">
        <v>52</v>
      </c>
      <c r="B7" s="34" t="s">
        <v>1015</v>
      </c>
      <c r="C7" s="35" t="s">
        <v>1016</v>
      </c>
      <c r="D7" s="35"/>
      <c r="E7" s="36" t="s">
        <v>563</v>
      </c>
      <c r="F7" s="36"/>
      <c r="G7" s="37">
        <v>44914</v>
      </c>
      <c r="H7" s="38">
        <v>45064</v>
      </c>
      <c r="I7" s="36"/>
      <c r="J7" s="36"/>
      <c r="K7" s="36"/>
      <c r="L7" s="37">
        <v>44914</v>
      </c>
      <c r="M7" s="38">
        <v>45064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9"/>
      <c r="AA7" s="39"/>
      <c r="AB7" s="36"/>
      <c r="AC7" s="36"/>
      <c r="AD7" s="36"/>
      <c r="AE7" s="36"/>
      <c r="AF7" s="36"/>
      <c r="AG7" s="36"/>
      <c r="AH7" s="36"/>
      <c r="AI7" s="36"/>
      <c r="AJ7" s="36"/>
    </row>
    <row r="8" spans="1:40" s="40" customFormat="1" ht="10.199999999999999" x14ac:dyDescent="0.2">
      <c r="A8" s="33">
        <v>61</v>
      </c>
      <c r="B8" s="34" t="s">
        <v>1017</v>
      </c>
      <c r="C8" s="35" t="s">
        <v>1018</v>
      </c>
      <c r="D8" s="35"/>
      <c r="E8" s="36" t="s">
        <v>1019</v>
      </c>
      <c r="F8" s="36"/>
      <c r="G8" s="37">
        <v>44767</v>
      </c>
      <c r="H8" s="43">
        <v>44834</v>
      </c>
      <c r="I8" s="36"/>
      <c r="J8" s="36"/>
      <c r="K8" s="36"/>
      <c r="L8" s="42">
        <v>44767</v>
      </c>
      <c r="M8" s="43">
        <v>44834</v>
      </c>
      <c r="N8" s="43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9"/>
      <c r="AA8" s="39"/>
      <c r="AB8" s="36"/>
      <c r="AC8" s="36"/>
      <c r="AD8" s="36"/>
      <c r="AE8" s="36"/>
      <c r="AF8" s="36"/>
      <c r="AG8" s="36"/>
      <c r="AH8" s="36"/>
      <c r="AI8" s="36"/>
      <c r="AJ8" s="36"/>
    </row>
    <row r="9" spans="1:40" s="40" customFormat="1" ht="10.199999999999999" x14ac:dyDescent="0.2">
      <c r="A9" s="33">
        <v>62</v>
      </c>
      <c r="B9" s="34" t="s">
        <v>1017</v>
      </c>
      <c r="C9" s="35" t="s">
        <v>1018</v>
      </c>
      <c r="D9" s="35"/>
      <c r="E9" s="36" t="s">
        <v>1019</v>
      </c>
      <c r="F9" s="36"/>
      <c r="G9" s="37">
        <v>44564</v>
      </c>
      <c r="H9" s="43">
        <v>44666</v>
      </c>
      <c r="I9" s="36"/>
      <c r="J9" s="36"/>
      <c r="K9" s="36"/>
      <c r="L9" s="42">
        <v>44564</v>
      </c>
      <c r="M9" s="43">
        <v>44666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9"/>
      <c r="AA9" s="39"/>
      <c r="AB9" s="36"/>
      <c r="AC9" s="36"/>
      <c r="AD9" s="36"/>
      <c r="AE9" s="36"/>
      <c r="AF9" s="36"/>
      <c r="AG9" s="36"/>
      <c r="AH9" s="36"/>
      <c r="AI9" s="36"/>
      <c r="AJ9" s="36"/>
    </row>
    <row r="10" spans="1:40" s="40" customFormat="1" ht="10.199999999999999" x14ac:dyDescent="0.2">
      <c r="A10" s="33">
        <v>69</v>
      </c>
      <c r="B10" s="44" t="s">
        <v>1020</v>
      </c>
      <c r="C10" s="45" t="s">
        <v>1021</v>
      </c>
      <c r="D10" s="45"/>
      <c r="E10" s="36" t="s">
        <v>398</v>
      </c>
      <c r="F10" s="36"/>
      <c r="G10" s="136"/>
      <c r="H10" s="137"/>
      <c r="I10" s="36"/>
      <c r="J10" s="36"/>
      <c r="K10" s="36"/>
      <c r="L10" s="46">
        <v>44545</v>
      </c>
      <c r="M10" s="47">
        <v>44681</v>
      </c>
      <c r="N10" s="37">
        <v>44712</v>
      </c>
      <c r="O10" s="36" t="s">
        <v>1022</v>
      </c>
      <c r="P10" s="37">
        <v>44834</v>
      </c>
      <c r="Q10" s="37">
        <v>44865</v>
      </c>
      <c r="R10" s="37">
        <v>44957</v>
      </c>
      <c r="S10" s="48" t="s">
        <v>1023</v>
      </c>
      <c r="T10" s="39"/>
      <c r="U10" s="36"/>
      <c r="V10" s="36"/>
      <c r="W10" s="36"/>
      <c r="X10" s="36"/>
      <c r="Y10" s="36"/>
      <c r="Z10" s="39"/>
      <c r="AA10" s="39"/>
      <c r="AB10" s="36"/>
      <c r="AC10" s="36"/>
      <c r="AD10" s="36"/>
      <c r="AE10" s="36"/>
      <c r="AF10" s="36"/>
      <c r="AG10" s="36"/>
      <c r="AH10" s="36"/>
      <c r="AI10" s="36"/>
      <c r="AJ10" s="36"/>
      <c r="AK10" s="41" t="s">
        <v>1024</v>
      </c>
      <c r="AL10" s="49">
        <v>44835</v>
      </c>
      <c r="AM10" s="49">
        <v>44865</v>
      </c>
      <c r="AN10" s="41" t="s">
        <v>1025</v>
      </c>
    </row>
    <row r="11" spans="1:40" s="40" customFormat="1" ht="10.199999999999999" x14ac:dyDescent="0.2">
      <c r="A11" s="33">
        <v>70</v>
      </c>
      <c r="B11" s="44" t="s">
        <v>1026</v>
      </c>
      <c r="C11" s="45" t="s">
        <v>1027</v>
      </c>
      <c r="D11" s="45"/>
      <c r="E11" s="36"/>
      <c r="F11" s="36"/>
      <c r="G11" s="138">
        <v>44564</v>
      </c>
      <c r="H11" s="139">
        <v>44681</v>
      </c>
      <c r="I11" s="37"/>
      <c r="J11" s="36"/>
      <c r="K11" s="36"/>
      <c r="L11" s="50">
        <v>44564</v>
      </c>
      <c r="M11" s="51">
        <v>44681</v>
      </c>
      <c r="N11" s="37"/>
      <c r="O11" s="48"/>
      <c r="P11" s="39"/>
      <c r="Q11" s="36"/>
      <c r="R11" s="36"/>
      <c r="S11" s="36"/>
      <c r="T11" s="52"/>
      <c r="U11" s="36"/>
      <c r="V11" s="36"/>
      <c r="W11" s="36"/>
      <c r="X11" s="36"/>
      <c r="Y11" s="36"/>
      <c r="Z11" s="39"/>
      <c r="AA11" s="39"/>
      <c r="AB11" s="36"/>
      <c r="AC11" s="36"/>
      <c r="AD11" s="36"/>
      <c r="AE11" s="36"/>
      <c r="AF11" s="36"/>
      <c r="AG11" s="36"/>
      <c r="AH11" s="36"/>
      <c r="AI11" s="36"/>
      <c r="AJ11" s="36"/>
    </row>
    <row r="12" spans="1:40" s="40" customFormat="1" ht="10.199999999999999" x14ac:dyDescent="0.2">
      <c r="A12" s="33"/>
      <c r="B12" s="34" t="s">
        <v>1028</v>
      </c>
      <c r="C12" s="35" t="s">
        <v>1029</v>
      </c>
      <c r="D12" s="35"/>
      <c r="E12" s="36" t="s">
        <v>1030</v>
      </c>
      <c r="F12" s="36"/>
      <c r="G12" s="36"/>
      <c r="H12" s="36"/>
      <c r="I12" s="36"/>
      <c r="J12" s="36"/>
      <c r="K12" s="36"/>
      <c r="L12" s="37" t="s">
        <v>1031</v>
      </c>
      <c r="M12" s="38" t="s">
        <v>1031</v>
      </c>
      <c r="N12" s="43" t="s">
        <v>1032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9"/>
      <c r="AA12" s="39"/>
      <c r="AB12" s="36"/>
      <c r="AC12" s="36"/>
      <c r="AD12" s="36"/>
      <c r="AE12" s="36"/>
      <c r="AF12" s="36"/>
      <c r="AG12" s="36"/>
      <c r="AH12" s="36"/>
      <c r="AI12" s="36"/>
      <c r="AJ12" s="36"/>
      <c r="AK12" s="41"/>
    </row>
    <row r="13" spans="1:40" s="40" customFormat="1" ht="10.199999999999999" x14ac:dyDescent="0.2">
      <c r="A13" s="33">
        <v>87</v>
      </c>
      <c r="B13" s="34" t="s">
        <v>1033</v>
      </c>
      <c r="C13" s="35" t="s">
        <v>1034</v>
      </c>
      <c r="D13" s="35"/>
      <c r="E13" s="36" t="s">
        <v>309</v>
      </c>
      <c r="F13" s="36"/>
      <c r="G13" s="37">
        <v>44565</v>
      </c>
      <c r="H13" s="43">
        <v>44666</v>
      </c>
      <c r="I13" s="36"/>
      <c r="J13" s="36"/>
      <c r="K13" s="36"/>
      <c r="L13" s="42">
        <v>44565</v>
      </c>
      <c r="M13" s="43">
        <v>44666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9"/>
      <c r="AA13" s="39"/>
      <c r="AB13" s="36"/>
      <c r="AC13" s="36"/>
      <c r="AD13" s="36"/>
      <c r="AE13" s="36"/>
      <c r="AF13" s="36"/>
      <c r="AG13" s="36"/>
      <c r="AH13" s="36"/>
      <c r="AI13" s="36"/>
      <c r="AJ13" s="36"/>
    </row>
    <row r="14" spans="1:40" s="40" customFormat="1" ht="10.199999999999999" x14ac:dyDescent="0.2">
      <c r="A14" s="33">
        <v>89</v>
      </c>
      <c r="B14" s="34" t="s">
        <v>1035</v>
      </c>
      <c r="C14" s="35" t="s">
        <v>1036</v>
      </c>
      <c r="D14" s="35"/>
      <c r="E14" s="36" t="s">
        <v>804</v>
      </c>
      <c r="F14" s="36"/>
      <c r="G14" s="37">
        <v>44571</v>
      </c>
      <c r="H14" s="43">
        <v>44666</v>
      </c>
      <c r="I14" s="39">
        <v>45199</v>
      </c>
      <c r="J14" s="36"/>
      <c r="K14" s="36"/>
      <c r="L14" s="42">
        <v>44571</v>
      </c>
      <c r="M14" s="43">
        <v>44666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9"/>
      <c r="AA14" s="39"/>
      <c r="AB14" s="36"/>
      <c r="AC14" s="36"/>
      <c r="AD14" s="36"/>
      <c r="AE14" s="36"/>
      <c r="AF14" s="36"/>
      <c r="AG14" s="36"/>
      <c r="AH14" s="36"/>
      <c r="AI14" s="36"/>
      <c r="AJ14" s="36"/>
    </row>
    <row r="15" spans="1:40" s="40" customFormat="1" ht="10.199999999999999" x14ac:dyDescent="0.2">
      <c r="A15" s="33">
        <v>92</v>
      </c>
      <c r="B15" s="34" t="s">
        <v>1037</v>
      </c>
      <c r="C15" s="35" t="s">
        <v>1038</v>
      </c>
      <c r="D15" s="35"/>
      <c r="E15" s="36" t="s">
        <v>210</v>
      </c>
      <c r="F15" s="36"/>
      <c r="G15" s="37">
        <v>44927</v>
      </c>
      <c r="H15" s="38">
        <v>44948</v>
      </c>
      <c r="I15" s="36"/>
      <c r="J15" s="36"/>
      <c r="K15" s="36"/>
      <c r="L15" s="39">
        <v>44927</v>
      </c>
      <c r="M15" s="38">
        <v>44948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/>
      <c r="AA15" s="39"/>
      <c r="AB15" s="36"/>
      <c r="AC15" s="36"/>
      <c r="AD15" s="36"/>
      <c r="AE15" s="36"/>
      <c r="AF15" s="36"/>
      <c r="AG15" s="36"/>
      <c r="AH15" s="36"/>
      <c r="AI15" s="36"/>
      <c r="AJ15" s="36"/>
    </row>
    <row r="16" spans="1:40" s="40" customFormat="1" ht="10.199999999999999" x14ac:dyDescent="0.2">
      <c r="A16" s="33">
        <v>93</v>
      </c>
      <c r="B16" s="34" t="s">
        <v>1039</v>
      </c>
      <c r="C16" s="35" t="s">
        <v>1040</v>
      </c>
      <c r="D16" s="35"/>
      <c r="E16" s="36" t="s">
        <v>1041</v>
      </c>
      <c r="F16" s="36"/>
      <c r="G16" s="37"/>
      <c r="H16" s="39"/>
      <c r="I16" s="36"/>
      <c r="J16" s="36"/>
      <c r="K16" s="36"/>
      <c r="L16" s="36" t="s">
        <v>1031</v>
      </c>
      <c r="M16" s="36" t="s">
        <v>1031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9"/>
      <c r="AA16" s="39"/>
      <c r="AB16" s="36"/>
      <c r="AC16" s="36"/>
      <c r="AD16" s="36"/>
      <c r="AE16" s="36"/>
      <c r="AF16" s="36"/>
      <c r="AG16" s="36"/>
      <c r="AH16" s="36"/>
      <c r="AI16" s="36"/>
      <c r="AJ16" s="36"/>
    </row>
    <row r="17" spans="1:53" s="40" customFormat="1" ht="10.199999999999999" x14ac:dyDescent="0.2">
      <c r="A17" s="33">
        <v>102</v>
      </c>
      <c r="B17" s="34" t="s">
        <v>1042</v>
      </c>
      <c r="C17" s="35" t="s">
        <v>1043</v>
      </c>
      <c r="D17" s="35"/>
      <c r="E17" s="36" t="s">
        <v>1044</v>
      </c>
      <c r="F17" s="36"/>
      <c r="G17" s="37"/>
      <c r="H17" s="39"/>
      <c r="I17" s="39"/>
      <c r="J17" s="36"/>
      <c r="K17" s="36"/>
      <c r="L17" s="36" t="s">
        <v>1031</v>
      </c>
      <c r="M17" s="36" t="s">
        <v>1031</v>
      </c>
      <c r="N17" s="53" t="s">
        <v>1045</v>
      </c>
      <c r="O17" s="43">
        <v>44865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9"/>
      <c r="AA17" s="39"/>
      <c r="AB17" s="36"/>
      <c r="AC17" s="36"/>
      <c r="AD17" s="36"/>
      <c r="AE17" s="36"/>
      <c r="AF17" s="36"/>
      <c r="AG17" s="36"/>
      <c r="AH17" s="36"/>
      <c r="AI17" s="36"/>
      <c r="AJ17" s="36"/>
      <c r="AK17" s="54" t="s">
        <v>1046</v>
      </c>
      <c r="AM17" s="43">
        <v>44865</v>
      </c>
      <c r="AN17" s="54" t="s">
        <v>1046</v>
      </c>
    </row>
    <row r="18" spans="1:53" s="40" customFormat="1" ht="10.199999999999999" x14ac:dyDescent="0.2">
      <c r="A18" s="33">
        <v>104</v>
      </c>
      <c r="B18" s="34" t="s">
        <v>1047</v>
      </c>
      <c r="C18" s="35" t="s">
        <v>1048</v>
      </c>
      <c r="D18" s="35"/>
      <c r="E18" s="36"/>
      <c r="F18" s="36"/>
      <c r="G18" s="37">
        <v>44580</v>
      </c>
      <c r="H18" s="43">
        <v>44666</v>
      </c>
      <c r="I18" s="36"/>
      <c r="J18" s="36"/>
      <c r="K18" s="36"/>
      <c r="L18" s="39">
        <v>44580</v>
      </c>
      <c r="M18" s="43">
        <v>44666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9"/>
      <c r="AA18" s="39"/>
      <c r="AB18" s="36"/>
      <c r="AC18" s="36"/>
      <c r="AD18" s="36"/>
      <c r="AE18" s="36"/>
      <c r="AF18" s="36"/>
      <c r="AG18" s="36"/>
      <c r="AH18" s="36"/>
      <c r="AI18" s="36"/>
      <c r="AJ18" s="36"/>
    </row>
    <row r="19" spans="1:53" s="40" customFormat="1" ht="10.199999999999999" x14ac:dyDescent="0.2">
      <c r="A19" s="33">
        <v>111</v>
      </c>
      <c r="B19" s="34" t="s">
        <v>1049</v>
      </c>
      <c r="C19" s="35" t="s">
        <v>1050</v>
      </c>
      <c r="D19" s="35"/>
      <c r="E19" s="36" t="s">
        <v>61</v>
      </c>
      <c r="F19" s="36"/>
      <c r="G19" s="37">
        <v>45040</v>
      </c>
      <c r="H19" s="38">
        <v>45138</v>
      </c>
      <c r="I19" s="36"/>
      <c r="J19" s="36"/>
      <c r="K19" s="36"/>
      <c r="L19" s="39">
        <v>45040</v>
      </c>
      <c r="M19" s="38">
        <v>45138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9"/>
      <c r="AA19" s="39"/>
      <c r="AB19" s="36"/>
      <c r="AC19" s="36"/>
      <c r="AD19" s="36"/>
      <c r="AE19" s="36"/>
      <c r="AF19" s="36"/>
      <c r="AG19" s="36"/>
      <c r="AH19" s="36"/>
      <c r="AI19" s="36"/>
      <c r="AJ19" s="36"/>
    </row>
    <row r="20" spans="1:53" s="40" customFormat="1" ht="10.199999999999999" x14ac:dyDescent="0.2">
      <c r="A20" s="33">
        <v>50</v>
      </c>
      <c r="B20" s="34" t="s">
        <v>1051</v>
      </c>
      <c r="C20" s="36" t="s">
        <v>1052</v>
      </c>
      <c r="D20" s="36"/>
      <c r="E20" s="36" t="s">
        <v>1053</v>
      </c>
      <c r="F20" s="36"/>
      <c r="G20" s="37">
        <v>44550</v>
      </c>
      <c r="H20" s="43">
        <v>45031</v>
      </c>
      <c r="I20" s="39">
        <v>45291</v>
      </c>
      <c r="J20" s="36"/>
      <c r="K20" s="36"/>
      <c r="L20" s="50">
        <v>44550</v>
      </c>
      <c r="M20" s="43">
        <v>44666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9"/>
      <c r="AA20" s="39"/>
      <c r="AB20" s="36"/>
      <c r="AC20" s="36"/>
      <c r="AD20" s="36"/>
      <c r="AE20" s="36"/>
      <c r="AF20" s="36"/>
      <c r="AG20" s="36"/>
      <c r="AH20" s="36"/>
      <c r="AI20" s="36"/>
      <c r="AJ20" s="36"/>
    </row>
    <row r="21" spans="1:53" s="40" customFormat="1" ht="10.199999999999999" x14ac:dyDescent="0.2">
      <c r="A21" s="33">
        <v>53</v>
      </c>
      <c r="B21" s="34" t="s">
        <v>1054</v>
      </c>
      <c r="C21" s="36" t="s">
        <v>1055</v>
      </c>
      <c r="D21" s="36"/>
      <c r="E21" s="36" t="s">
        <v>862</v>
      </c>
      <c r="F21" s="36"/>
      <c r="G21" s="36"/>
      <c r="H21" s="36"/>
      <c r="I21" s="36"/>
      <c r="J21" s="36"/>
      <c r="K21" s="36"/>
      <c r="L21" s="37">
        <v>44964</v>
      </c>
      <c r="M21" s="38">
        <v>45138</v>
      </c>
      <c r="N21" s="38">
        <v>45230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9"/>
      <c r="AA21" s="39"/>
      <c r="AB21" s="36"/>
      <c r="AC21" s="36"/>
      <c r="AD21" s="36"/>
      <c r="AE21" s="36"/>
      <c r="AF21" s="36"/>
      <c r="AG21" s="36"/>
      <c r="AH21" s="36"/>
      <c r="AI21" s="36"/>
      <c r="AJ21" s="36"/>
    </row>
    <row r="22" spans="1:53" s="40" customFormat="1" ht="10.199999999999999" x14ac:dyDescent="0.2">
      <c r="A22" s="33">
        <v>3</v>
      </c>
      <c r="B22" s="34" t="s">
        <v>1056</v>
      </c>
      <c r="C22" s="36" t="s">
        <v>1057</v>
      </c>
      <c r="D22" s="36"/>
      <c r="E22" s="36" t="s">
        <v>804</v>
      </c>
      <c r="F22" s="36"/>
      <c r="G22" s="36"/>
      <c r="H22" s="36"/>
      <c r="I22" s="36"/>
      <c r="J22" s="36"/>
      <c r="K22" s="36"/>
      <c r="L22" s="37">
        <v>44935</v>
      </c>
      <c r="M22" s="38">
        <v>45107</v>
      </c>
      <c r="N22" s="38">
        <v>45199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9"/>
      <c r="AA22" s="39"/>
      <c r="AB22" s="36"/>
      <c r="AC22" s="36"/>
      <c r="AD22" s="36"/>
      <c r="AE22" s="36"/>
      <c r="AF22" s="36"/>
      <c r="AG22" s="36"/>
      <c r="AH22" s="36"/>
      <c r="AI22" s="36"/>
      <c r="AJ22" s="36"/>
      <c r="AK22" s="41" t="s">
        <v>1008</v>
      </c>
    </row>
    <row r="23" spans="1:53" s="40" customFormat="1" ht="10.199999999999999" x14ac:dyDescent="0.2">
      <c r="A23" s="33">
        <v>11</v>
      </c>
      <c r="B23" s="34" t="s">
        <v>1058</v>
      </c>
      <c r="C23" s="36" t="s">
        <v>1059</v>
      </c>
      <c r="D23" s="36"/>
      <c r="E23" s="36" t="s">
        <v>1060</v>
      </c>
      <c r="F23" s="36"/>
      <c r="G23" s="36"/>
      <c r="H23" s="36"/>
      <c r="I23" s="36"/>
      <c r="J23" s="36"/>
      <c r="K23" s="36"/>
      <c r="L23" s="37">
        <v>44998</v>
      </c>
      <c r="M23" s="38">
        <v>45382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9"/>
      <c r="AA23" s="39"/>
      <c r="AB23" s="36"/>
      <c r="AC23" s="36"/>
      <c r="AD23" s="36"/>
      <c r="AE23" s="36"/>
      <c r="AF23" s="36"/>
      <c r="AG23" s="36"/>
      <c r="AH23" s="36"/>
      <c r="AI23" s="36"/>
      <c r="AJ23" s="36"/>
    </row>
    <row r="24" spans="1:53" s="40" customFormat="1" ht="10.199999999999999" x14ac:dyDescent="0.2">
      <c r="A24" s="33">
        <v>25</v>
      </c>
      <c r="B24" s="34" t="s">
        <v>1061</v>
      </c>
      <c r="C24" s="36" t="s">
        <v>1062</v>
      </c>
      <c r="D24" s="36"/>
      <c r="E24" s="36" t="s">
        <v>1063</v>
      </c>
      <c r="F24" s="36"/>
      <c r="G24" s="36"/>
      <c r="H24" s="36"/>
      <c r="I24" s="36"/>
      <c r="J24" s="36"/>
      <c r="K24" s="36"/>
      <c r="L24" s="37">
        <v>44958</v>
      </c>
      <c r="M24" s="38">
        <v>45138</v>
      </c>
      <c r="N24" s="43">
        <v>45230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9"/>
      <c r="AA24" s="39"/>
      <c r="AB24" s="36"/>
      <c r="AC24" s="36"/>
      <c r="AD24" s="36"/>
      <c r="AE24" s="36"/>
      <c r="AF24" s="36"/>
      <c r="AG24" s="36"/>
      <c r="AH24" s="36"/>
      <c r="AI24" s="36"/>
      <c r="AJ24" s="36"/>
    </row>
    <row r="25" spans="1:53" s="40" customFormat="1" ht="10.199999999999999" x14ac:dyDescent="0.2">
      <c r="A25" s="33">
        <v>35</v>
      </c>
      <c r="B25" s="34" t="s">
        <v>1064</v>
      </c>
      <c r="C25" s="36" t="s">
        <v>1065</v>
      </c>
      <c r="D25" s="36"/>
      <c r="E25" s="36" t="s">
        <v>1066</v>
      </c>
      <c r="F25" s="36"/>
      <c r="G25" s="36"/>
      <c r="H25" s="36"/>
      <c r="I25" s="36"/>
      <c r="J25" s="36"/>
      <c r="K25" s="36"/>
      <c r="L25" s="37">
        <v>44986</v>
      </c>
      <c r="M25" s="38">
        <v>45169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9"/>
      <c r="AA25" s="39"/>
      <c r="AB25" s="36"/>
      <c r="AC25" s="36"/>
      <c r="AD25" s="36"/>
      <c r="AE25" s="36"/>
      <c r="AF25" s="36"/>
      <c r="AG25" s="36"/>
      <c r="AH25" s="36"/>
      <c r="AI25" s="36"/>
      <c r="AJ25" s="36"/>
    </row>
    <row r="26" spans="1:53" s="40" customFormat="1" ht="10.199999999999999" x14ac:dyDescent="0.2">
      <c r="A26" s="33">
        <v>69</v>
      </c>
      <c r="B26" s="34" t="s">
        <v>1067</v>
      </c>
      <c r="C26" s="36" t="s">
        <v>1068</v>
      </c>
      <c r="D26" s="36"/>
      <c r="E26" s="36" t="s">
        <v>1069</v>
      </c>
      <c r="F26" s="36"/>
      <c r="G26" s="36"/>
      <c r="H26" s="36"/>
      <c r="I26" s="36"/>
      <c r="J26" s="36"/>
      <c r="K26" s="36"/>
      <c r="L26" s="37">
        <v>44998</v>
      </c>
      <c r="M26" s="38">
        <v>45169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9"/>
      <c r="AA26" s="39"/>
      <c r="AB26" s="36"/>
      <c r="AC26" s="36"/>
      <c r="AD26" s="36"/>
      <c r="AE26" s="36"/>
      <c r="AF26" s="36"/>
      <c r="AG26" s="36"/>
      <c r="AH26" s="36"/>
      <c r="AI26" s="36"/>
      <c r="AJ26" s="36"/>
    </row>
    <row r="27" spans="1:53" s="40" customFormat="1" ht="10.199999999999999" x14ac:dyDescent="0.2">
      <c r="A27" s="33">
        <v>78</v>
      </c>
      <c r="B27" s="34" t="s">
        <v>1035</v>
      </c>
      <c r="C27" s="36" t="s">
        <v>1036</v>
      </c>
      <c r="D27" s="36"/>
      <c r="E27" s="36" t="s">
        <v>804</v>
      </c>
      <c r="F27" s="36"/>
      <c r="G27" s="36"/>
      <c r="H27" s="36"/>
      <c r="I27" s="36"/>
      <c r="J27" s="36"/>
      <c r="K27" s="36"/>
      <c r="L27" s="37">
        <v>44935</v>
      </c>
      <c r="M27" s="38">
        <v>45107</v>
      </c>
      <c r="N27" s="38">
        <v>45199</v>
      </c>
      <c r="O27" s="39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9"/>
      <c r="AA27" s="39"/>
      <c r="AB27" s="36"/>
      <c r="AC27" s="36"/>
      <c r="AD27" s="36"/>
      <c r="AE27" s="36"/>
      <c r="AF27" s="36"/>
      <c r="AG27" s="36"/>
      <c r="AH27" s="36"/>
      <c r="AI27" s="36"/>
      <c r="AJ27" s="36"/>
      <c r="AK27" s="41" t="s">
        <v>1008</v>
      </c>
    </row>
    <row r="28" spans="1:53" ht="12.45" customHeight="1" x14ac:dyDescent="0.3">
      <c r="A28" s="33"/>
      <c r="B28" s="34">
        <v>48515190</v>
      </c>
      <c r="C28" s="36" t="s">
        <v>1070</v>
      </c>
      <c r="D28" s="36"/>
      <c r="E28" s="36" t="s">
        <v>489</v>
      </c>
      <c r="F28" s="36"/>
      <c r="G28" s="36"/>
      <c r="H28" s="36"/>
      <c r="I28" s="36"/>
      <c r="J28" s="36"/>
      <c r="K28" s="36"/>
      <c r="L28" s="37">
        <v>45114</v>
      </c>
      <c r="M28" s="38">
        <v>45199</v>
      </c>
    </row>
    <row r="29" spans="1:53" ht="12.45" customHeight="1" x14ac:dyDescent="0.3">
      <c r="A29" s="33"/>
      <c r="B29" s="34" t="s">
        <v>1071</v>
      </c>
      <c r="C29" s="36" t="s">
        <v>1072</v>
      </c>
      <c r="D29" s="36"/>
      <c r="E29" s="36" t="s">
        <v>96</v>
      </c>
      <c r="F29" s="36"/>
      <c r="G29" s="36"/>
      <c r="H29" s="36"/>
      <c r="I29" s="36"/>
      <c r="J29" s="36"/>
      <c r="K29" s="36"/>
      <c r="L29" s="37">
        <v>45193</v>
      </c>
      <c r="M29" s="38">
        <v>45199</v>
      </c>
    </row>
    <row r="30" spans="1:53" ht="12.45" customHeight="1" x14ac:dyDescent="0.3">
      <c r="A30" s="33"/>
      <c r="B30" s="34" t="s">
        <v>1073</v>
      </c>
      <c r="C30" s="36" t="s">
        <v>1074</v>
      </c>
      <c r="D30" s="36"/>
      <c r="E30" s="36" t="s">
        <v>1075</v>
      </c>
      <c r="F30" s="36"/>
      <c r="G30" s="36"/>
      <c r="H30" s="36"/>
      <c r="I30" s="36"/>
      <c r="J30" s="36"/>
      <c r="K30" s="36"/>
      <c r="L30" s="37">
        <v>45089</v>
      </c>
      <c r="M30" s="38">
        <v>45169</v>
      </c>
    </row>
    <row r="31" spans="1:53" s="40" customFormat="1" ht="10.199999999999999" x14ac:dyDescent="0.2">
      <c r="A31" s="33">
        <v>62</v>
      </c>
      <c r="B31" s="55" t="s">
        <v>1076</v>
      </c>
      <c r="C31" s="20" t="s">
        <v>1077</v>
      </c>
      <c r="D31" s="20"/>
      <c r="E31" s="36" t="s">
        <v>1078</v>
      </c>
      <c r="F31" s="36"/>
      <c r="G31" s="36" t="s">
        <v>1079</v>
      </c>
      <c r="I31" s="36"/>
      <c r="J31" s="36"/>
      <c r="K31" s="36"/>
      <c r="L31" s="37">
        <v>44593</v>
      </c>
      <c r="M31" s="39">
        <v>44681</v>
      </c>
      <c r="N31" s="38"/>
      <c r="O31" s="38"/>
      <c r="P31" s="42" t="s">
        <v>1080</v>
      </c>
      <c r="Q31" s="42">
        <v>44834</v>
      </c>
      <c r="R31" s="42">
        <v>44865</v>
      </c>
      <c r="S31" s="39"/>
      <c r="T31" s="38">
        <v>44926</v>
      </c>
      <c r="U31" s="42">
        <v>44957</v>
      </c>
      <c r="V31" s="42">
        <v>45107</v>
      </c>
      <c r="W31" s="38">
        <v>45291</v>
      </c>
      <c r="X31" s="36"/>
      <c r="Y31" s="36"/>
      <c r="Z31" s="36"/>
      <c r="AA31" s="36"/>
      <c r="AB31" s="36"/>
      <c r="AC31" s="39"/>
      <c r="AE31" s="39"/>
      <c r="AF31" s="36"/>
      <c r="AG31" s="36"/>
      <c r="AH31" s="36"/>
      <c r="AI31" s="36"/>
      <c r="AJ31" s="36"/>
      <c r="AK31" s="36" t="s">
        <v>1031</v>
      </c>
      <c r="AM31" s="49">
        <v>44743</v>
      </c>
      <c r="AN31" s="49">
        <v>44834</v>
      </c>
      <c r="AO31" s="41" t="s">
        <v>1024</v>
      </c>
      <c r="AP31" s="56">
        <v>44835</v>
      </c>
      <c r="AQ31" s="56">
        <v>44865</v>
      </c>
      <c r="AR31" s="40" t="s">
        <v>1025</v>
      </c>
      <c r="AS31" s="56">
        <v>44866</v>
      </c>
      <c r="AT31" s="56">
        <v>44926</v>
      </c>
      <c r="AU31" s="40" t="s">
        <v>1025</v>
      </c>
      <c r="AV31" s="56">
        <v>44958</v>
      </c>
      <c r="AW31" s="56">
        <v>45107</v>
      </c>
      <c r="AX31" s="40" t="s">
        <v>1081</v>
      </c>
      <c r="AY31" s="56">
        <v>45108</v>
      </c>
      <c r="AZ31" s="56">
        <v>45291</v>
      </c>
      <c r="BA31" s="40" t="s">
        <v>1082</v>
      </c>
    </row>
    <row r="32" spans="1:53" s="40" customFormat="1" ht="10.199999999999999" x14ac:dyDescent="0.2">
      <c r="A32" s="33">
        <v>112</v>
      </c>
      <c r="B32" s="55" t="s">
        <v>1083</v>
      </c>
      <c r="C32" s="20" t="s">
        <v>1084</v>
      </c>
      <c r="D32" s="20"/>
      <c r="E32" s="36" t="s">
        <v>1085</v>
      </c>
      <c r="F32" s="36"/>
      <c r="G32" s="36" t="s">
        <v>1086</v>
      </c>
      <c r="H32" s="36"/>
      <c r="I32" s="36"/>
      <c r="J32" s="36"/>
      <c r="K32" s="36"/>
      <c r="L32" s="37">
        <v>45159</v>
      </c>
      <c r="M32" s="38">
        <v>45291</v>
      </c>
      <c r="N32" s="42"/>
      <c r="O32" s="42"/>
      <c r="P32" s="39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9"/>
      <c r="AD32" s="39"/>
      <c r="AE32" s="36"/>
      <c r="AG32" s="36"/>
      <c r="AH32" s="36"/>
      <c r="AI32" s="36"/>
      <c r="AJ32" s="36"/>
      <c r="AK32" s="36"/>
    </row>
    <row r="33" spans="1:55" s="40" customFormat="1" ht="10.199999999999999" x14ac:dyDescent="0.2">
      <c r="A33" s="33">
        <v>5</v>
      </c>
      <c r="B33" s="55" t="s">
        <v>1087</v>
      </c>
      <c r="C33" s="20" t="s">
        <v>1088</v>
      </c>
      <c r="D33" s="20"/>
      <c r="E33" s="36" t="s">
        <v>328</v>
      </c>
      <c r="F33" s="36"/>
      <c r="G33" s="36" t="s">
        <v>1089</v>
      </c>
      <c r="H33" s="36"/>
      <c r="I33" s="36"/>
      <c r="J33" s="36"/>
      <c r="K33" s="36"/>
      <c r="L33" s="37">
        <v>44861</v>
      </c>
      <c r="M33" s="39">
        <v>45042</v>
      </c>
      <c r="N33" s="38"/>
      <c r="O33" s="38"/>
      <c r="P33" s="42">
        <v>45291</v>
      </c>
      <c r="Q33" s="36"/>
      <c r="R33" s="36"/>
      <c r="S33" s="36"/>
      <c r="T33" s="36"/>
      <c r="U33" s="36"/>
      <c r="V33" s="36"/>
      <c r="W33" s="36"/>
      <c r="X33" s="36"/>
      <c r="Y33" s="39"/>
      <c r="Z33" s="36"/>
      <c r="AA33" s="36"/>
      <c r="AB33" s="36"/>
      <c r="AC33" s="39"/>
      <c r="AD33" s="39"/>
      <c r="AE33" s="36"/>
      <c r="AG33" s="36"/>
      <c r="AH33" s="36"/>
      <c r="AI33" s="36"/>
      <c r="AJ33" s="36"/>
      <c r="AK33" s="36" t="s">
        <v>1090</v>
      </c>
      <c r="AM33" s="56">
        <v>45043</v>
      </c>
      <c r="AN33" s="56">
        <v>45137</v>
      </c>
      <c r="AO33" s="41" t="s">
        <v>1008</v>
      </c>
      <c r="BC33" s="40" t="s">
        <v>1091</v>
      </c>
    </row>
    <row r="34" spans="1:55" s="40" customFormat="1" ht="10.199999999999999" x14ac:dyDescent="0.2">
      <c r="A34" s="33">
        <v>6</v>
      </c>
      <c r="B34" s="57" t="s">
        <v>1092</v>
      </c>
      <c r="C34" s="36" t="s">
        <v>1093</v>
      </c>
      <c r="D34" s="36"/>
      <c r="E34" s="36" t="s">
        <v>1094</v>
      </c>
      <c r="F34" s="36"/>
      <c r="G34" s="36"/>
      <c r="H34" s="36"/>
      <c r="I34" s="36"/>
      <c r="J34" s="36"/>
      <c r="K34" s="36"/>
      <c r="L34" s="37">
        <v>45096</v>
      </c>
      <c r="M34" s="38">
        <v>45199</v>
      </c>
      <c r="N34" s="38"/>
      <c r="O34" s="38"/>
      <c r="P34" s="38">
        <v>45291</v>
      </c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9"/>
      <c r="AD34" s="39"/>
      <c r="AE34" s="36"/>
      <c r="AG34" s="36"/>
      <c r="AH34" s="36"/>
      <c r="AI34" s="36"/>
      <c r="AJ34" s="36"/>
      <c r="AK34" s="36" t="s">
        <v>1090</v>
      </c>
      <c r="BC34" s="40" t="s">
        <v>1091</v>
      </c>
    </row>
    <row r="35" spans="1:55" s="40" customFormat="1" ht="14.7" customHeight="1" x14ac:dyDescent="0.2">
      <c r="A35" s="33">
        <v>9</v>
      </c>
      <c r="B35" s="55" t="s">
        <v>1095</v>
      </c>
      <c r="C35" s="36" t="s">
        <v>1096</v>
      </c>
      <c r="D35" s="36"/>
      <c r="E35" s="36" t="s">
        <v>1097</v>
      </c>
      <c r="F35" s="36"/>
      <c r="G35" s="36"/>
      <c r="H35" s="36"/>
      <c r="I35" s="36"/>
      <c r="J35" s="36"/>
      <c r="K35" s="36"/>
      <c r="L35" s="37">
        <v>44581</v>
      </c>
      <c r="M35" s="38">
        <v>44666</v>
      </c>
      <c r="N35" s="38"/>
      <c r="O35" s="38"/>
      <c r="P35" s="42" t="s">
        <v>1098</v>
      </c>
      <c r="Q35" s="42">
        <v>44834</v>
      </c>
      <c r="R35" s="38">
        <v>44865</v>
      </c>
      <c r="S35" s="39"/>
      <c r="T35" s="38">
        <v>44957</v>
      </c>
      <c r="U35" s="38">
        <v>45138</v>
      </c>
      <c r="V35" s="38">
        <v>45230</v>
      </c>
      <c r="W35" s="39"/>
      <c r="X35" s="36"/>
      <c r="Y35" s="36"/>
      <c r="Z35" s="36"/>
      <c r="AA35" s="36"/>
      <c r="AB35" s="36"/>
      <c r="AC35" s="39"/>
      <c r="AD35" s="39"/>
      <c r="AE35" s="36"/>
      <c r="AG35" s="36"/>
      <c r="AH35" s="36"/>
      <c r="AI35" s="36"/>
      <c r="AJ35" s="36"/>
      <c r="AK35" s="36" t="s">
        <v>1099</v>
      </c>
      <c r="AM35" s="49">
        <v>44743</v>
      </c>
      <c r="AN35" s="49">
        <v>44834</v>
      </c>
      <c r="AO35" s="41" t="s">
        <v>1024</v>
      </c>
      <c r="AP35" s="56">
        <v>44866</v>
      </c>
      <c r="AQ35" s="56">
        <v>44957</v>
      </c>
      <c r="AR35" s="40" t="s">
        <v>1100</v>
      </c>
      <c r="AS35" s="56">
        <v>44958</v>
      </c>
      <c r="AT35" s="56">
        <v>45138</v>
      </c>
      <c r="AU35" s="40" t="s">
        <v>1081</v>
      </c>
      <c r="BC35" s="40" t="s">
        <v>1101</v>
      </c>
    </row>
    <row r="36" spans="1:55" s="40" customFormat="1" ht="14.7" customHeight="1" x14ac:dyDescent="0.2">
      <c r="A36" s="33">
        <v>97</v>
      </c>
      <c r="B36" s="55" t="s">
        <v>1102</v>
      </c>
      <c r="C36" s="36" t="s">
        <v>1103</v>
      </c>
      <c r="D36" s="36"/>
      <c r="E36" s="36" t="s">
        <v>196</v>
      </c>
      <c r="F36" s="36"/>
      <c r="G36" s="36"/>
      <c r="H36" s="36"/>
      <c r="I36" s="36"/>
      <c r="J36" s="36"/>
      <c r="K36" s="36"/>
      <c r="L36" s="37">
        <v>45139</v>
      </c>
      <c r="M36" s="38">
        <v>45230</v>
      </c>
      <c r="N36" s="38"/>
      <c r="O36" s="38"/>
      <c r="P36" s="39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9"/>
      <c r="AD36" s="39"/>
      <c r="AE36" s="36"/>
      <c r="AG36" s="36"/>
      <c r="AH36" s="36"/>
      <c r="AI36" s="36"/>
      <c r="AJ36" s="36"/>
      <c r="AK36" s="36"/>
      <c r="BC36" s="40" t="s">
        <v>1101</v>
      </c>
    </row>
    <row r="37" spans="1:55" s="40" customFormat="1" ht="14.7" customHeight="1" x14ac:dyDescent="0.2">
      <c r="A37" s="33">
        <v>14</v>
      </c>
      <c r="B37" s="55" t="s">
        <v>1104</v>
      </c>
      <c r="C37" s="36" t="s">
        <v>1105</v>
      </c>
      <c r="D37" s="36"/>
      <c r="E37" s="36" t="s">
        <v>1106</v>
      </c>
      <c r="F37" s="36"/>
      <c r="G37" s="36"/>
      <c r="H37" s="36"/>
      <c r="I37" s="36"/>
      <c r="J37" s="36"/>
      <c r="K37" s="36"/>
      <c r="L37" s="37">
        <v>44566</v>
      </c>
      <c r="M37" s="38">
        <v>44666</v>
      </c>
      <c r="N37" s="38"/>
      <c r="O37" s="38"/>
      <c r="P37" s="42" t="s">
        <v>1098</v>
      </c>
      <c r="Q37" s="42">
        <v>44834</v>
      </c>
      <c r="R37" s="38">
        <v>44865</v>
      </c>
      <c r="S37" s="39"/>
      <c r="T37" s="38">
        <v>44957</v>
      </c>
      <c r="U37" s="38">
        <v>44985</v>
      </c>
      <c r="V37" s="38">
        <v>45138</v>
      </c>
      <c r="W37" s="38">
        <v>45230</v>
      </c>
      <c r="X37" s="39"/>
      <c r="Y37" s="39"/>
      <c r="Z37" s="36"/>
      <c r="AA37" s="36"/>
      <c r="AB37" s="36"/>
      <c r="AC37" s="39"/>
      <c r="AD37" s="39"/>
      <c r="AE37" s="36"/>
      <c r="AG37" s="36"/>
      <c r="AH37" s="36"/>
      <c r="AI37" s="36"/>
      <c r="AJ37" s="36"/>
      <c r="AK37" s="36" t="s">
        <v>1031</v>
      </c>
      <c r="AM37" s="49">
        <v>44743</v>
      </c>
      <c r="AN37" s="49">
        <v>44834</v>
      </c>
      <c r="AO37" s="41" t="s">
        <v>1024</v>
      </c>
      <c r="AP37" s="56">
        <v>44866</v>
      </c>
      <c r="AQ37" s="56">
        <v>44957</v>
      </c>
      <c r="AR37" s="40" t="s">
        <v>1025</v>
      </c>
      <c r="AS37" s="56">
        <v>44958</v>
      </c>
      <c r="AT37" s="56">
        <v>44985</v>
      </c>
      <c r="AU37" s="40" t="s">
        <v>1081</v>
      </c>
      <c r="AV37" s="56">
        <v>44986</v>
      </c>
      <c r="AW37" s="56">
        <v>45138</v>
      </c>
      <c r="AX37" s="40" t="s">
        <v>1081</v>
      </c>
      <c r="BC37" s="40" t="s">
        <v>1101</v>
      </c>
    </row>
    <row r="38" spans="1:55" s="40" customFormat="1" ht="14.7" customHeight="1" x14ac:dyDescent="0.2">
      <c r="A38" s="33">
        <v>27</v>
      </c>
      <c r="B38" s="55" t="s">
        <v>1107</v>
      </c>
      <c r="C38" s="36" t="s">
        <v>1108</v>
      </c>
      <c r="D38" s="36"/>
      <c r="E38" s="36" t="s">
        <v>599</v>
      </c>
      <c r="F38" s="36"/>
      <c r="G38" s="36"/>
      <c r="H38" s="36"/>
      <c r="I38" s="36"/>
      <c r="J38" s="36"/>
      <c r="K38" s="36"/>
      <c r="L38" s="37">
        <v>44967</v>
      </c>
      <c r="M38" s="38">
        <v>45138</v>
      </c>
      <c r="N38" s="38"/>
      <c r="O38" s="38"/>
      <c r="P38" s="58">
        <v>45322</v>
      </c>
      <c r="Q38" s="36"/>
      <c r="R38" s="36"/>
      <c r="S38" s="36"/>
      <c r="T38" s="36"/>
      <c r="U38" s="36"/>
      <c r="V38" s="36"/>
      <c r="W38" s="36"/>
      <c r="X38" s="36"/>
      <c r="Y38" s="39"/>
      <c r="Z38" s="36"/>
      <c r="AA38" s="36"/>
      <c r="AB38" s="36"/>
      <c r="AC38" s="39"/>
      <c r="AD38" s="39"/>
      <c r="AE38" s="36"/>
      <c r="AG38" s="36"/>
      <c r="AH38" s="36"/>
      <c r="AI38" s="36"/>
      <c r="AJ38" s="36"/>
      <c r="AK38" s="36" t="s">
        <v>1081</v>
      </c>
    </row>
    <row r="39" spans="1:55" s="40" customFormat="1" ht="14.7" customHeight="1" x14ac:dyDescent="0.2">
      <c r="A39" s="33">
        <v>119</v>
      </c>
      <c r="B39" s="59" t="s">
        <v>1073</v>
      </c>
      <c r="C39" s="36" t="s">
        <v>1109</v>
      </c>
      <c r="D39" s="36"/>
      <c r="E39" s="36"/>
      <c r="F39" s="36"/>
      <c r="G39" s="36"/>
      <c r="H39" s="36"/>
      <c r="I39" s="36"/>
      <c r="J39" s="36"/>
      <c r="K39" s="36"/>
      <c r="L39" s="37">
        <v>45089</v>
      </c>
      <c r="M39" s="38">
        <v>45169</v>
      </c>
      <c r="N39" s="39"/>
      <c r="O39" s="39"/>
      <c r="P39" s="39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9"/>
      <c r="AD39" s="39"/>
      <c r="AE39" s="36"/>
      <c r="AG39" s="36"/>
      <c r="AH39" s="36"/>
      <c r="AI39" s="36"/>
      <c r="AJ39" s="36"/>
      <c r="AK39" s="36"/>
    </row>
    <row r="40" spans="1:55" s="40" customFormat="1" ht="10.199999999999999" x14ac:dyDescent="0.2">
      <c r="A40" s="33">
        <v>30</v>
      </c>
      <c r="B40" s="55" t="s">
        <v>1110</v>
      </c>
      <c r="C40" s="20" t="s">
        <v>1111</v>
      </c>
      <c r="D40" s="20"/>
      <c r="E40" s="36" t="s">
        <v>627</v>
      </c>
      <c r="F40" s="36"/>
      <c r="G40" s="36" t="s">
        <v>48</v>
      </c>
      <c r="H40" s="36"/>
      <c r="I40" s="36"/>
      <c r="J40" s="36"/>
      <c r="K40" s="36"/>
      <c r="L40" s="37">
        <v>44958</v>
      </c>
      <c r="M40" s="39">
        <v>45137</v>
      </c>
      <c r="N40" s="38"/>
      <c r="O40" s="38"/>
      <c r="P40" s="38">
        <v>45230</v>
      </c>
      <c r="Q40" s="38">
        <v>45260</v>
      </c>
      <c r="R40" s="42">
        <v>45291</v>
      </c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9"/>
      <c r="AD40" s="39"/>
      <c r="AE40" s="36"/>
      <c r="AG40" s="36"/>
      <c r="AH40" s="36"/>
      <c r="AI40" s="36"/>
      <c r="AJ40" s="36"/>
      <c r="AK40" s="36" t="s">
        <v>1081</v>
      </c>
      <c r="BC40" s="40" t="s">
        <v>1091</v>
      </c>
    </row>
    <row r="41" spans="1:55" s="40" customFormat="1" ht="10.199999999999999" x14ac:dyDescent="0.2">
      <c r="A41" s="33">
        <v>61</v>
      </c>
      <c r="B41" s="55" t="s">
        <v>1112</v>
      </c>
      <c r="C41" s="20" t="s">
        <v>1113</v>
      </c>
      <c r="D41" s="20"/>
      <c r="E41" s="36" t="s">
        <v>1114</v>
      </c>
      <c r="F41" s="36"/>
      <c r="G41" s="36" t="s">
        <v>1115</v>
      </c>
      <c r="H41" s="36"/>
      <c r="I41" s="36"/>
      <c r="J41" s="36"/>
      <c r="K41" s="36"/>
      <c r="L41" s="37">
        <v>44760</v>
      </c>
      <c r="M41" s="39">
        <v>44834</v>
      </c>
      <c r="N41" s="38"/>
      <c r="O41" s="38"/>
      <c r="P41" s="38">
        <v>44865</v>
      </c>
      <c r="Q41" s="38">
        <v>44957</v>
      </c>
      <c r="R41" s="38">
        <v>45138</v>
      </c>
      <c r="S41" s="38"/>
      <c r="T41" s="42">
        <v>45230</v>
      </c>
      <c r="U41" s="38">
        <v>45322</v>
      </c>
      <c r="V41" s="36"/>
      <c r="W41" s="36"/>
      <c r="X41" s="36"/>
      <c r="Y41" s="36"/>
      <c r="Z41" s="36"/>
      <c r="AA41" s="36"/>
      <c r="AB41" s="36"/>
      <c r="AC41" s="39"/>
      <c r="AD41" s="39"/>
      <c r="AE41" s="36"/>
      <c r="AG41" s="36"/>
      <c r="AH41" s="36"/>
      <c r="AI41" s="36"/>
      <c r="AJ41" s="36"/>
      <c r="AK41" s="53" t="s">
        <v>1116</v>
      </c>
      <c r="AM41" s="56">
        <v>44866</v>
      </c>
      <c r="AN41" s="56">
        <v>44957</v>
      </c>
      <c r="AO41" s="40" t="s">
        <v>1117</v>
      </c>
      <c r="AP41" s="56">
        <v>44958</v>
      </c>
      <c r="AQ41" s="56">
        <v>45138</v>
      </c>
      <c r="AR41" s="40" t="s">
        <v>1081</v>
      </c>
      <c r="BC41" s="40" t="s">
        <v>1091</v>
      </c>
    </row>
    <row r="42" spans="1:55" s="40" customFormat="1" ht="10.199999999999999" x14ac:dyDescent="0.2">
      <c r="A42" s="33">
        <v>68</v>
      </c>
      <c r="B42" s="55" t="s">
        <v>1118</v>
      </c>
      <c r="C42" s="20" t="s">
        <v>1119</v>
      </c>
      <c r="D42" s="20"/>
      <c r="E42" s="36" t="s">
        <v>1120</v>
      </c>
      <c r="F42" s="36"/>
      <c r="G42" s="36" t="s">
        <v>1086</v>
      </c>
      <c r="H42" s="36"/>
      <c r="I42" s="36"/>
      <c r="J42" s="36"/>
      <c r="K42" s="36"/>
      <c r="L42" s="37">
        <v>44893</v>
      </c>
      <c r="M42" s="39">
        <v>45291</v>
      </c>
      <c r="N42" s="38"/>
      <c r="O42" s="38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9"/>
      <c r="AD42" s="39"/>
      <c r="AE42" s="36"/>
      <c r="AG42" s="36"/>
      <c r="AH42" s="36"/>
      <c r="AI42" s="36"/>
      <c r="AJ42" s="36"/>
      <c r="AK42" s="36" t="s">
        <v>1081</v>
      </c>
    </row>
    <row r="43" spans="1:55" s="40" customFormat="1" ht="14.7" customHeight="1" x14ac:dyDescent="0.2">
      <c r="A43" s="33">
        <v>76</v>
      </c>
      <c r="B43" s="55" t="s">
        <v>1121</v>
      </c>
      <c r="C43" s="36" t="s">
        <v>1122</v>
      </c>
      <c r="D43" s="36"/>
      <c r="E43" s="36" t="s">
        <v>1123</v>
      </c>
      <c r="F43" s="36"/>
      <c r="G43" s="36"/>
      <c r="H43" s="36"/>
      <c r="I43" s="36"/>
      <c r="J43" s="36"/>
      <c r="K43" s="36"/>
      <c r="L43" s="37">
        <v>44593</v>
      </c>
      <c r="M43" s="38">
        <v>44666</v>
      </c>
      <c r="N43" s="38"/>
      <c r="O43" s="38"/>
      <c r="P43" s="42" t="s">
        <v>1124</v>
      </c>
      <c r="Q43" s="42">
        <v>44834</v>
      </c>
      <c r="R43" s="38">
        <v>44865</v>
      </c>
      <c r="S43" s="38" t="s">
        <v>1125</v>
      </c>
      <c r="T43" s="38">
        <v>44926</v>
      </c>
      <c r="U43" s="38">
        <v>44957</v>
      </c>
      <c r="V43" s="38">
        <v>45138</v>
      </c>
      <c r="W43" s="38">
        <v>45230</v>
      </c>
      <c r="X43" s="36"/>
      <c r="Y43" s="36"/>
      <c r="Z43" s="36"/>
      <c r="AA43" s="36"/>
      <c r="AB43" s="36"/>
      <c r="AC43" s="39"/>
      <c r="AD43" s="39"/>
      <c r="AE43" s="36"/>
      <c r="AG43" s="36"/>
      <c r="AH43" s="36"/>
      <c r="AI43" s="36"/>
      <c r="AJ43" s="36"/>
      <c r="AK43" s="36" t="s">
        <v>1031</v>
      </c>
      <c r="AM43" s="49">
        <v>44743</v>
      </c>
      <c r="AN43" s="49">
        <v>44834</v>
      </c>
      <c r="AO43" s="41" t="s">
        <v>1024</v>
      </c>
      <c r="AP43" s="56">
        <v>44866</v>
      </c>
      <c r="AQ43" s="56">
        <v>44926</v>
      </c>
      <c r="AR43" s="40" t="s">
        <v>1025</v>
      </c>
      <c r="AS43" s="56">
        <v>44866</v>
      </c>
      <c r="AT43" s="56">
        <v>44957</v>
      </c>
      <c r="AU43" s="40" t="s">
        <v>1025</v>
      </c>
      <c r="AV43" s="56">
        <v>44958</v>
      </c>
      <c r="AW43" s="56">
        <v>45138</v>
      </c>
      <c r="AX43" s="40" t="s">
        <v>1081</v>
      </c>
      <c r="BC43" s="40" t="s">
        <v>1101</v>
      </c>
    </row>
    <row r="44" spans="1:55" s="40" customFormat="1" ht="10.199999999999999" x14ac:dyDescent="0.2">
      <c r="A44" s="33">
        <v>105</v>
      </c>
      <c r="B44" s="55" t="s">
        <v>1126</v>
      </c>
      <c r="C44" s="36" t="s">
        <v>1127</v>
      </c>
      <c r="D44" s="36"/>
      <c r="E44" s="36" t="s">
        <v>862</v>
      </c>
      <c r="F44" s="36"/>
      <c r="G44" s="36"/>
      <c r="H44" s="36"/>
      <c r="I44" s="36"/>
      <c r="J44" s="36"/>
      <c r="K44" s="36"/>
      <c r="L44" s="37">
        <v>45201</v>
      </c>
      <c r="M44" s="38">
        <v>45291</v>
      </c>
      <c r="N44" s="38"/>
      <c r="O44" s="38"/>
      <c r="P44" s="39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9"/>
      <c r="AD44" s="39"/>
      <c r="AE44" s="36"/>
      <c r="AG44" s="36"/>
      <c r="AH44" s="36"/>
      <c r="AI44" s="36"/>
      <c r="AJ44" s="36"/>
      <c r="AK44" s="36"/>
      <c r="BC44" s="40" t="s">
        <v>1091</v>
      </c>
    </row>
    <row r="45" spans="1:55" s="40" customFormat="1" ht="14.7" customHeight="1" x14ac:dyDescent="0.2">
      <c r="A45" s="33">
        <v>98</v>
      </c>
      <c r="B45" s="55" t="s">
        <v>1128</v>
      </c>
      <c r="C45" s="36" t="s">
        <v>1129</v>
      </c>
      <c r="D45" s="36"/>
      <c r="E45" s="36" t="s">
        <v>1130</v>
      </c>
      <c r="F45" s="36"/>
      <c r="G45" s="36"/>
      <c r="H45" s="36"/>
      <c r="I45" s="36"/>
      <c r="J45" s="36"/>
      <c r="K45" s="36"/>
      <c r="L45" s="37">
        <v>45139</v>
      </c>
      <c r="M45" s="38">
        <v>45230</v>
      </c>
      <c r="N45" s="38"/>
      <c r="O45" s="38"/>
      <c r="P45" s="39" t="s">
        <v>1131</v>
      </c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9"/>
      <c r="AD45" s="39"/>
      <c r="AE45" s="36"/>
      <c r="AG45" s="36"/>
      <c r="AH45" s="36"/>
      <c r="AI45" s="36"/>
      <c r="AJ45" s="36"/>
      <c r="BC45" s="40" t="s">
        <v>1101</v>
      </c>
    </row>
    <row r="46" spans="1:55" s="40" customFormat="1" ht="10.199999999999999" x14ac:dyDescent="0.2">
      <c r="A46" s="33">
        <v>113</v>
      </c>
      <c r="B46" s="34" t="s">
        <v>1132</v>
      </c>
      <c r="C46" s="36" t="s">
        <v>1133</v>
      </c>
      <c r="D46" s="36"/>
      <c r="E46" s="36" t="s">
        <v>1134</v>
      </c>
      <c r="H46" s="36"/>
      <c r="I46" s="36"/>
      <c r="J46" s="36"/>
      <c r="K46" s="36"/>
      <c r="L46" s="37">
        <v>45170</v>
      </c>
      <c r="M46" s="38">
        <v>45260</v>
      </c>
      <c r="N46" s="42"/>
      <c r="O46" s="42"/>
      <c r="P46" s="42">
        <v>45291</v>
      </c>
      <c r="Q46" s="36"/>
      <c r="R46" s="36"/>
      <c r="S46" s="60">
        <v>45322</v>
      </c>
      <c r="U46" s="36"/>
      <c r="V46" s="36"/>
      <c r="W46" s="36"/>
      <c r="X46" s="36"/>
      <c r="Y46" s="36"/>
      <c r="Z46" s="36"/>
      <c r="AA46" s="36"/>
      <c r="AB46" s="36"/>
      <c r="AC46" s="36"/>
      <c r="AD46" s="39"/>
      <c r="AE46" s="39"/>
      <c r="AF46" s="36"/>
      <c r="AG46" s="36"/>
      <c r="AH46" s="36"/>
      <c r="AI46" s="36"/>
      <c r="AJ46" s="36"/>
      <c r="AK46" s="36"/>
      <c r="BC46" s="40" t="s">
        <v>1091</v>
      </c>
    </row>
    <row r="47" spans="1:55" s="40" customFormat="1" ht="13.2" customHeight="1" x14ac:dyDescent="0.2">
      <c r="A47" s="33">
        <v>17</v>
      </c>
      <c r="B47" s="34" t="s">
        <v>1135</v>
      </c>
      <c r="C47" s="35" t="s">
        <v>1136</v>
      </c>
      <c r="D47" s="35"/>
      <c r="E47" s="36" t="s">
        <v>1137</v>
      </c>
      <c r="F47" s="36"/>
      <c r="G47" s="36"/>
      <c r="H47" s="36"/>
      <c r="I47" s="36"/>
      <c r="J47" s="36"/>
      <c r="K47" s="36"/>
      <c r="L47" s="37">
        <v>45084</v>
      </c>
      <c r="M47" s="38">
        <v>45169</v>
      </c>
      <c r="N47" s="39"/>
      <c r="O47" s="39"/>
      <c r="P47" s="38">
        <v>45260</v>
      </c>
      <c r="Q47" s="42">
        <v>45291</v>
      </c>
      <c r="R47" s="36"/>
      <c r="S47" s="60">
        <v>45322</v>
      </c>
      <c r="T47" s="36"/>
      <c r="U47" s="36"/>
      <c r="V47" s="36"/>
      <c r="W47" s="36"/>
      <c r="X47" s="36"/>
      <c r="Y47" s="36"/>
      <c r="Z47" s="36"/>
      <c r="AA47" s="36"/>
      <c r="AB47" s="36"/>
      <c r="AC47" s="39"/>
      <c r="AD47" s="39"/>
      <c r="AF47" s="36"/>
      <c r="AG47" s="36"/>
      <c r="AH47" s="36"/>
      <c r="AI47" s="36"/>
      <c r="AJ47" s="36"/>
      <c r="AK47" s="36" t="s">
        <v>1090</v>
      </c>
      <c r="BC47" s="32" t="s">
        <v>1091</v>
      </c>
    </row>
    <row r="48" spans="1:55" s="40" customFormat="1" ht="10.199999999999999" x14ac:dyDescent="0.2">
      <c r="A48" s="33">
        <v>31</v>
      </c>
      <c r="B48" s="34" t="s">
        <v>1138</v>
      </c>
      <c r="C48" s="35" t="s">
        <v>1139</v>
      </c>
      <c r="D48" s="35"/>
      <c r="E48" s="36" t="s">
        <v>1140</v>
      </c>
      <c r="F48" s="36"/>
      <c r="G48" s="36" t="s">
        <v>1115</v>
      </c>
      <c r="H48" s="36"/>
      <c r="I48" s="36"/>
      <c r="J48" s="36"/>
      <c r="K48" s="36"/>
      <c r="L48" s="37">
        <v>44760</v>
      </c>
      <c r="M48" s="39">
        <v>44834</v>
      </c>
      <c r="N48" s="39"/>
      <c r="O48" s="39"/>
      <c r="P48" s="38">
        <v>44865</v>
      </c>
      <c r="Q48" s="38">
        <v>44957</v>
      </c>
      <c r="R48" s="38">
        <v>45138</v>
      </c>
      <c r="S48" s="39"/>
      <c r="T48" s="38">
        <v>45322</v>
      </c>
      <c r="U48" s="36"/>
      <c r="V48" s="36"/>
      <c r="W48" s="36"/>
      <c r="X48" s="36"/>
      <c r="Y48" s="36"/>
      <c r="Z48" s="36"/>
      <c r="AA48" s="36"/>
      <c r="AB48" s="36"/>
      <c r="AC48" s="39"/>
      <c r="AD48" s="39"/>
      <c r="AE48" s="36"/>
      <c r="AF48" s="36"/>
      <c r="AG48" s="36"/>
      <c r="AH48" s="36"/>
      <c r="AI48" s="36"/>
      <c r="AJ48" s="36"/>
      <c r="AL48" s="56">
        <v>44866</v>
      </c>
      <c r="AM48" s="56">
        <v>44957</v>
      </c>
      <c r="AN48" s="40" t="s">
        <v>1117</v>
      </c>
      <c r="AO48" s="56">
        <v>44958</v>
      </c>
      <c r="AP48" s="56">
        <v>45138</v>
      </c>
      <c r="AQ48" s="40" t="s">
        <v>1100</v>
      </c>
      <c r="BB48" s="32" t="s">
        <v>1091</v>
      </c>
    </row>
    <row r="49" spans="1:55" s="62" customFormat="1" ht="10.199999999999999" x14ac:dyDescent="0.2">
      <c r="A49" s="61">
        <v>82</v>
      </c>
      <c r="B49" s="34" t="s">
        <v>1141</v>
      </c>
      <c r="C49" s="20" t="s">
        <v>1142</v>
      </c>
      <c r="D49" s="20"/>
      <c r="E49" s="36" t="s">
        <v>542</v>
      </c>
      <c r="F49" s="36"/>
      <c r="G49" s="36" t="s">
        <v>1115</v>
      </c>
      <c r="H49" s="36"/>
      <c r="I49" s="36"/>
      <c r="J49" s="36"/>
      <c r="K49" s="36"/>
      <c r="L49" s="37">
        <v>45154</v>
      </c>
      <c r="M49" s="38">
        <v>45350</v>
      </c>
      <c r="N49" s="42"/>
      <c r="O49" s="42"/>
      <c r="P49" s="39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9"/>
      <c r="AD49" s="39"/>
      <c r="AE49" s="36"/>
      <c r="AF49" s="36"/>
      <c r="AG49" s="36"/>
      <c r="AH49" s="36"/>
      <c r="AI49" s="36"/>
      <c r="AJ49" s="36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5" s="40" customFormat="1" ht="10.199999999999999" x14ac:dyDescent="0.2">
      <c r="A50" s="61">
        <v>74</v>
      </c>
      <c r="B50" s="34" t="s">
        <v>1143</v>
      </c>
      <c r="C50" s="20" t="s">
        <v>1144</v>
      </c>
      <c r="D50" s="20"/>
      <c r="E50" s="20" t="s">
        <v>1145</v>
      </c>
      <c r="F50" s="20"/>
      <c r="G50" s="36" t="s">
        <v>48</v>
      </c>
      <c r="H50" s="36"/>
      <c r="I50" s="36"/>
      <c r="J50" s="36"/>
      <c r="K50" s="36"/>
      <c r="L50" s="37">
        <v>44565</v>
      </c>
      <c r="M50" s="39">
        <v>44666</v>
      </c>
      <c r="N50" s="39"/>
      <c r="O50" s="39"/>
      <c r="P50" s="42" t="s">
        <v>1098</v>
      </c>
      <c r="Q50" s="42">
        <v>44834</v>
      </c>
      <c r="R50" s="38">
        <v>44865</v>
      </c>
      <c r="S50" s="63">
        <v>45351</v>
      </c>
      <c r="T50" s="35" t="s">
        <v>1146</v>
      </c>
      <c r="U50" s="38">
        <v>45077</v>
      </c>
      <c r="V50" s="42">
        <v>45169</v>
      </c>
      <c r="W50" s="38">
        <v>45260</v>
      </c>
      <c r="Y50" s="36"/>
      <c r="Z50" s="36"/>
      <c r="AA50" s="36"/>
      <c r="AB50" s="36"/>
      <c r="AC50" s="39"/>
      <c r="AD50" s="39"/>
      <c r="AE50" s="36"/>
      <c r="AF50" s="36"/>
      <c r="AG50" s="36"/>
      <c r="AH50" s="36"/>
      <c r="AI50" s="36"/>
      <c r="AJ50" s="36"/>
      <c r="AL50" s="49">
        <v>44743</v>
      </c>
      <c r="AM50" s="49">
        <v>44834</v>
      </c>
      <c r="AN50" s="41" t="s">
        <v>1024</v>
      </c>
      <c r="AO50" s="64">
        <v>44866</v>
      </c>
      <c r="AP50" s="64">
        <v>44926</v>
      </c>
      <c r="AQ50" s="40" t="s">
        <v>1025</v>
      </c>
      <c r="AR50" s="56">
        <v>44927</v>
      </c>
      <c r="AS50" s="56">
        <v>45077</v>
      </c>
      <c r="AT50" s="40" t="s">
        <v>1081</v>
      </c>
      <c r="AU50" s="56">
        <v>45078</v>
      </c>
      <c r="AV50" s="40" t="s">
        <v>1147</v>
      </c>
      <c r="AW50" s="40" t="s">
        <v>1082</v>
      </c>
    </row>
    <row r="51" spans="1:55" x14ac:dyDescent="0.3">
      <c r="A51" s="61">
        <v>4</v>
      </c>
      <c r="B51" s="65" t="s">
        <v>1148</v>
      </c>
      <c r="C51" s="66" t="s">
        <v>1149</v>
      </c>
      <c r="D51" s="66"/>
      <c r="E51" s="67">
        <v>45176</v>
      </c>
      <c r="F51" s="67"/>
      <c r="G51" s="68">
        <v>45260</v>
      </c>
      <c r="H51" s="39"/>
      <c r="I51" s="39"/>
      <c r="J51" s="36"/>
      <c r="K51" s="36"/>
      <c r="L51" s="36"/>
      <c r="M51" s="36"/>
      <c r="N51" s="39">
        <v>45351</v>
      </c>
      <c r="O51" s="36"/>
      <c r="P51" s="36"/>
      <c r="Q51" s="36"/>
      <c r="R51" s="36"/>
      <c r="S51" s="36"/>
      <c r="T51" s="42">
        <v>45351</v>
      </c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55" x14ac:dyDescent="0.3">
      <c r="A52" s="61">
        <v>16</v>
      </c>
      <c r="B52" s="65" t="s">
        <v>1150</v>
      </c>
      <c r="C52" s="66" t="s">
        <v>1151</v>
      </c>
      <c r="D52" s="66"/>
      <c r="E52" s="67">
        <v>45033</v>
      </c>
      <c r="F52" s="67"/>
      <c r="G52" s="68">
        <v>45124</v>
      </c>
      <c r="H52" s="39"/>
      <c r="I52" s="39"/>
      <c r="J52" s="68">
        <v>45230</v>
      </c>
      <c r="K52" s="68"/>
      <c r="L52" s="68">
        <v>45260</v>
      </c>
      <c r="M52" s="38">
        <v>45291</v>
      </c>
      <c r="N52" s="69">
        <v>45351</v>
      </c>
      <c r="O52" s="36"/>
      <c r="P52" s="36"/>
      <c r="Q52" s="36"/>
      <c r="R52" s="36"/>
      <c r="S52" s="36"/>
      <c r="T52" s="70">
        <v>45351</v>
      </c>
      <c r="U52" s="40" t="s">
        <v>1101</v>
      </c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55" x14ac:dyDescent="0.3">
      <c r="A53" s="61">
        <v>48</v>
      </c>
      <c r="B53" s="34" t="s">
        <v>1152</v>
      </c>
      <c r="C53" s="66" t="s">
        <v>1153</v>
      </c>
      <c r="D53" s="66"/>
      <c r="E53" s="37">
        <v>45152</v>
      </c>
      <c r="F53" s="37"/>
      <c r="G53" s="68">
        <v>45260</v>
      </c>
      <c r="H53" s="39"/>
      <c r="I53" s="39"/>
      <c r="J53" s="68">
        <v>45291</v>
      </c>
      <c r="K53" s="68"/>
      <c r="L53" s="68">
        <v>45322</v>
      </c>
      <c r="M53" s="38"/>
      <c r="N53" s="69">
        <v>45351</v>
      </c>
      <c r="O53" s="36"/>
      <c r="P53" s="36"/>
      <c r="Q53" s="36"/>
      <c r="R53" s="36"/>
      <c r="S53" s="36"/>
      <c r="T53" s="36"/>
      <c r="U53" s="36"/>
      <c r="V53" s="39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55" s="40" customFormat="1" ht="10.199999999999999" x14ac:dyDescent="0.2">
      <c r="A54" s="33">
        <v>77</v>
      </c>
      <c r="B54" s="34" t="s">
        <v>1154</v>
      </c>
      <c r="C54" s="36" t="s">
        <v>1155</v>
      </c>
      <c r="D54" s="36"/>
      <c r="E54" s="36" t="s">
        <v>61</v>
      </c>
      <c r="F54" s="36"/>
      <c r="G54" s="36"/>
      <c r="H54" s="36"/>
      <c r="I54" s="36"/>
      <c r="J54" s="36"/>
      <c r="K54" s="36"/>
      <c r="L54" s="37">
        <v>45068</v>
      </c>
      <c r="M54" s="38">
        <v>45169</v>
      </c>
      <c r="N54" s="39"/>
      <c r="O54" s="39"/>
      <c r="P54" s="38">
        <v>45260</v>
      </c>
      <c r="Q54" s="38">
        <v>45382</v>
      </c>
      <c r="R54" s="36"/>
      <c r="S54" s="42">
        <v>45351</v>
      </c>
      <c r="T54" s="36"/>
      <c r="U54" s="36"/>
      <c r="V54" s="36"/>
      <c r="W54" s="36"/>
      <c r="X54" s="39"/>
      <c r="Y54" s="36"/>
      <c r="Z54" s="36"/>
      <c r="AA54" s="36"/>
      <c r="AB54" s="36"/>
      <c r="AC54" s="39"/>
      <c r="AD54" s="39"/>
      <c r="AE54" s="36"/>
      <c r="AF54" s="36"/>
      <c r="AG54" s="36"/>
      <c r="AH54" s="36"/>
      <c r="AI54" s="36"/>
      <c r="AJ54" s="36"/>
    </row>
    <row r="55" spans="1:55" s="40" customFormat="1" ht="10.199999999999999" x14ac:dyDescent="0.2">
      <c r="A55" s="33">
        <v>99</v>
      </c>
      <c r="B55" s="34" t="s">
        <v>1033</v>
      </c>
      <c r="C55" s="36" t="s">
        <v>1034</v>
      </c>
      <c r="D55" s="36"/>
      <c r="E55" s="20" t="s">
        <v>1156</v>
      </c>
      <c r="F55" s="20"/>
      <c r="G55" s="36" t="s">
        <v>310</v>
      </c>
      <c r="H55" s="36"/>
      <c r="I55" s="36"/>
      <c r="J55" s="36"/>
      <c r="K55" s="36"/>
      <c r="L55" s="37">
        <v>45001</v>
      </c>
      <c r="M55" s="38">
        <v>45199</v>
      </c>
      <c r="N55" s="39"/>
      <c r="O55" s="39"/>
      <c r="P55" s="42">
        <v>45291</v>
      </c>
      <c r="Q55" s="36"/>
      <c r="R55" s="36"/>
      <c r="S55" s="69">
        <v>45382</v>
      </c>
      <c r="T55" s="36"/>
      <c r="U55" s="36"/>
      <c r="V55" s="36"/>
      <c r="W55" s="36"/>
      <c r="X55" s="36"/>
      <c r="Y55" s="36"/>
      <c r="Z55" s="36"/>
      <c r="AA55" s="36"/>
      <c r="AB55" s="36"/>
      <c r="AC55" s="39"/>
      <c r="AD55" s="39"/>
      <c r="AE55" s="36"/>
      <c r="AF55" s="36"/>
      <c r="AG55" s="36"/>
      <c r="AH55" s="36"/>
      <c r="AI55" s="36"/>
      <c r="AJ55" s="36"/>
    </row>
    <row r="56" spans="1:55" s="40" customFormat="1" ht="10.199999999999999" x14ac:dyDescent="0.2">
      <c r="A56" s="33">
        <v>11</v>
      </c>
      <c r="B56" s="65" t="s">
        <v>1157</v>
      </c>
      <c r="C56" s="66" t="s">
        <v>1158</v>
      </c>
      <c r="D56" s="66"/>
      <c r="E56" s="66" t="s">
        <v>1159</v>
      </c>
      <c r="F56" s="66"/>
      <c r="G56" s="66"/>
      <c r="H56" s="66"/>
      <c r="I56" s="66"/>
      <c r="J56" s="66"/>
      <c r="K56" s="66"/>
      <c r="L56" s="67">
        <v>44594</v>
      </c>
      <c r="M56" s="68">
        <v>44666</v>
      </c>
      <c r="N56" s="39"/>
      <c r="O56" s="39"/>
      <c r="P56" s="42" t="s">
        <v>1098</v>
      </c>
      <c r="Q56" s="42">
        <v>44834</v>
      </c>
      <c r="R56" s="38">
        <v>44865</v>
      </c>
      <c r="S56" s="69">
        <v>45382</v>
      </c>
      <c r="T56" s="68">
        <v>44926</v>
      </c>
      <c r="U56" s="68">
        <v>44957</v>
      </c>
      <c r="V56" s="68">
        <v>45107</v>
      </c>
      <c r="W56" s="68">
        <v>45199</v>
      </c>
      <c r="X56" s="68">
        <v>45291</v>
      </c>
      <c r="Z56" s="36"/>
      <c r="AA56" s="36"/>
      <c r="AB56" s="36"/>
      <c r="AC56" s="39"/>
      <c r="AD56" s="39"/>
      <c r="AE56" s="36"/>
      <c r="AF56" s="36"/>
      <c r="AG56" s="36"/>
      <c r="AH56" s="36"/>
      <c r="AI56" s="36"/>
      <c r="AJ56" s="36"/>
      <c r="AL56" s="49">
        <v>44743</v>
      </c>
      <c r="AM56" s="49">
        <v>44834</v>
      </c>
      <c r="AN56" s="41" t="s">
        <v>1024</v>
      </c>
      <c r="AO56" s="56">
        <v>44866</v>
      </c>
      <c r="AP56" s="56">
        <v>44926</v>
      </c>
      <c r="AQ56" s="40" t="s">
        <v>1025</v>
      </c>
      <c r="AR56" s="56">
        <v>44927</v>
      </c>
      <c r="AS56" s="56">
        <v>44957</v>
      </c>
      <c r="AT56" s="40" t="s">
        <v>1025</v>
      </c>
      <c r="AU56" s="56">
        <v>44958</v>
      </c>
      <c r="AV56" s="56">
        <v>45107</v>
      </c>
      <c r="AW56" s="40" t="s">
        <v>1025</v>
      </c>
      <c r="AX56" s="49">
        <v>45108</v>
      </c>
      <c r="AY56" s="49">
        <v>45199</v>
      </c>
      <c r="AZ56" s="41" t="s">
        <v>1082</v>
      </c>
      <c r="BB56" s="40" t="s">
        <v>1160</v>
      </c>
    </row>
    <row r="57" spans="1:55" s="40" customFormat="1" ht="10.199999999999999" x14ac:dyDescent="0.2">
      <c r="A57" s="33">
        <v>66</v>
      </c>
      <c r="B57" s="34" t="s">
        <v>1161</v>
      </c>
      <c r="C57" s="36" t="s">
        <v>1162</v>
      </c>
      <c r="D57" s="36"/>
      <c r="E57" s="36" t="s">
        <v>1163</v>
      </c>
      <c r="F57" s="36"/>
      <c r="G57" s="36"/>
      <c r="H57" s="36"/>
      <c r="I57" s="36"/>
      <c r="J57" s="36"/>
      <c r="K57" s="36"/>
      <c r="L57" s="37">
        <v>44935</v>
      </c>
      <c r="M57" s="38">
        <v>45199</v>
      </c>
      <c r="N57" s="39"/>
      <c r="O57" s="39"/>
      <c r="P57" s="38">
        <v>45291</v>
      </c>
      <c r="Q57" s="36"/>
      <c r="R57" s="36"/>
      <c r="S57" s="38">
        <v>45382</v>
      </c>
      <c r="T57" s="36"/>
      <c r="U57" s="36"/>
      <c r="V57" s="36"/>
      <c r="W57" s="36"/>
      <c r="X57" s="36"/>
      <c r="Y57" s="36"/>
      <c r="Z57" s="36"/>
      <c r="AA57" s="36"/>
      <c r="AB57" s="36"/>
      <c r="AC57" s="39"/>
      <c r="AD57" s="39"/>
      <c r="AE57" s="36"/>
      <c r="AF57" s="36"/>
      <c r="AG57" s="36"/>
      <c r="AH57" s="36"/>
      <c r="AI57" s="36"/>
      <c r="AJ57" s="36"/>
      <c r="AL57" s="49">
        <v>45108</v>
      </c>
      <c r="AM57" s="49">
        <v>45199</v>
      </c>
      <c r="AN57" s="41" t="s">
        <v>1008</v>
      </c>
    </row>
    <row r="58" spans="1:55" s="40" customFormat="1" ht="10.199999999999999" x14ac:dyDescent="0.2">
      <c r="A58" s="33">
        <v>122</v>
      </c>
      <c r="B58" s="34" t="s">
        <v>1164</v>
      </c>
      <c r="C58" s="36" t="s">
        <v>1165</v>
      </c>
      <c r="D58" s="36"/>
      <c r="E58" s="36" t="s">
        <v>563</v>
      </c>
      <c r="F58" s="36"/>
      <c r="G58" s="36"/>
      <c r="H58" s="36"/>
      <c r="I58" s="36"/>
      <c r="J58" s="36"/>
      <c r="K58" s="36"/>
      <c r="L58" s="37">
        <v>44986</v>
      </c>
      <c r="M58" s="38">
        <v>45169</v>
      </c>
      <c r="N58" s="39"/>
      <c r="O58" s="39"/>
      <c r="P58" s="38">
        <v>45291</v>
      </c>
      <c r="Q58" s="36"/>
      <c r="R58" s="36"/>
      <c r="S58" s="69">
        <v>45382</v>
      </c>
      <c r="T58" s="36"/>
      <c r="U58" s="36"/>
      <c r="V58" s="36"/>
      <c r="W58" s="36"/>
      <c r="X58" s="36"/>
      <c r="Y58" s="36"/>
      <c r="Z58" s="36"/>
      <c r="AA58" s="36"/>
      <c r="AB58" s="36"/>
      <c r="AC58" s="39"/>
      <c r="AD58" s="39"/>
      <c r="AE58" s="36"/>
      <c r="AF58" s="36"/>
      <c r="AG58" s="36"/>
      <c r="AH58" s="36"/>
      <c r="AI58" s="36"/>
      <c r="AJ58" s="36"/>
      <c r="AZ58" s="62"/>
      <c r="BA58" s="62"/>
    </row>
    <row r="59" spans="1:55" s="40" customFormat="1" ht="10.199999999999999" x14ac:dyDescent="0.2">
      <c r="A59" s="33">
        <v>89</v>
      </c>
      <c r="B59" s="34" t="s">
        <v>1166</v>
      </c>
      <c r="C59" s="36" t="s">
        <v>1167</v>
      </c>
      <c r="D59" s="36"/>
      <c r="E59" s="36" t="s">
        <v>1168</v>
      </c>
      <c r="F59" s="36"/>
      <c r="G59" s="36"/>
      <c r="H59" s="36"/>
      <c r="I59" s="36"/>
      <c r="J59" s="36"/>
      <c r="K59" s="36"/>
      <c r="L59" s="37">
        <v>45139</v>
      </c>
      <c r="M59" s="38">
        <v>45230</v>
      </c>
      <c r="N59" s="39"/>
      <c r="O59" s="39"/>
      <c r="P59" s="38">
        <v>45260</v>
      </c>
      <c r="Q59" s="38">
        <v>45443</v>
      </c>
      <c r="R59" s="36"/>
      <c r="S59" s="42">
        <v>45351</v>
      </c>
      <c r="T59" s="36"/>
      <c r="U59" s="36"/>
      <c r="V59" s="36"/>
      <c r="W59" s="36"/>
      <c r="X59" s="36"/>
      <c r="Y59" s="36"/>
      <c r="Z59" s="36"/>
      <c r="AA59" s="36"/>
      <c r="AB59" s="36"/>
      <c r="AC59" s="39"/>
      <c r="AD59" s="39"/>
      <c r="AE59" s="36"/>
      <c r="AF59" s="36"/>
      <c r="AG59" s="36"/>
      <c r="AH59" s="36"/>
      <c r="AI59" s="36"/>
      <c r="AJ59" s="36"/>
    </row>
    <row r="60" spans="1:55" s="40" customFormat="1" ht="10.199999999999999" x14ac:dyDescent="0.2">
      <c r="A60" s="33">
        <v>91</v>
      </c>
      <c r="B60" s="34" t="s">
        <v>1169</v>
      </c>
      <c r="C60" s="36" t="s">
        <v>1170</v>
      </c>
      <c r="D60" s="36"/>
      <c r="E60" s="36"/>
      <c r="F60" s="36"/>
      <c r="G60" s="36"/>
      <c r="H60" s="36"/>
      <c r="I60" s="36"/>
      <c r="J60" s="36"/>
      <c r="K60" s="36"/>
      <c r="L60" s="37">
        <v>45248</v>
      </c>
      <c r="M60" s="38">
        <v>45351</v>
      </c>
      <c r="N60" s="39"/>
      <c r="O60" s="39"/>
      <c r="P60" s="38">
        <v>45443</v>
      </c>
      <c r="Q60" s="39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9"/>
      <c r="AD60" s="39"/>
      <c r="AE60" s="36"/>
      <c r="AF60" s="36"/>
      <c r="AG60" s="36"/>
      <c r="AH60" s="36"/>
      <c r="AI60" s="36"/>
      <c r="AJ60" s="36"/>
    </row>
    <row r="61" spans="1:55" s="40" customFormat="1" ht="10.199999999999999" x14ac:dyDescent="0.2">
      <c r="A61" s="33">
        <v>15</v>
      </c>
      <c r="B61" s="65" t="s">
        <v>1171</v>
      </c>
      <c r="C61" s="66" t="s">
        <v>1172</v>
      </c>
      <c r="D61" s="66"/>
      <c r="E61" s="66"/>
      <c r="F61" s="66"/>
      <c r="G61" s="66"/>
      <c r="H61" s="66"/>
      <c r="I61" s="66"/>
      <c r="J61" s="66"/>
      <c r="K61" s="66"/>
      <c r="L61" s="67">
        <v>45341</v>
      </c>
      <c r="M61" s="68">
        <v>45412</v>
      </c>
      <c r="N61" s="39"/>
      <c r="O61" s="39"/>
      <c r="P61" s="36"/>
      <c r="Q61" s="36"/>
      <c r="R61" s="36"/>
      <c r="S61" s="70"/>
      <c r="T61" s="36"/>
      <c r="U61" s="36"/>
      <c r="V61" s="36"/>
      <c r="W61" s="36"/>
      <c r="X61" s="36"/>
      <c r="Y61" s="36"/>
      <c r="Z61" s="36"/>
      <c r="AA61" s="36"/>
      <c r="AB61" s="36"/>
      <c r="AC61" s="39"/>
      <c r="AD61" s="39"/>
      <c r="AE61" s="36"/>
      <c r="AF61" s="36"/>
      <c r="AG61" s="36"/>
      <c r="AH61" s="36"/>
      <c r="AI61" s="36"/>
      <c r="AJ61" s="36"/>
    </row>
    <row r="62" spans="1:55" s="40" customFormat="1" ht="10.199999999999999" x14ac:dyDescent="0.2">
      <c r="A62" s="33">
        <v>54</v>
      </c>
      <c r="B62" s="34" t="s">
        <v>1173</v>
      </c>
      <c r="C62" s="36" t="s">
        <v>1174</v>
      </c>
      <c r="D62" s="36"/>
      <c r="E62" s="36" t="s">
        <v>1175</v>
      </c>
      <c r="F62" s="36"/>
      <c r="G62" s="36"/>
      <c r="H62" s="36"/>
      <c r="I62" s="36"/>
      <c r="J62" s="36"/>
      <c r="K62" s="36"/>
      <c r="L62" s="37">
        <v>44966</v>
      </c>
      <c r="M62" s="38">
        <v>45138</v>
      </c>
      <c r="N62" s="39"/>
      <c r="O62" s="39"/>
      <c r="P62" s="71">
        <v>45322</v>
      </c>
      <c r="Q62" s="36"/>
      <c r="R62" s="36"/>
      <c r="S62" s="38">
        <v>45412</v>
      </c>
      <c r="T62" s="36"/>
      <c r="U62" s="36"/>
      <c r="V62" s="36"/>
      <c r="W62" s="36"/>
      <c r="X62" s="36"/>
      <c r="Y62" s="36"/>
      <c r="Z62" s="36"/>
      <c r="AA62" s="36"/>
      <c r="AB62" s="36"/>
      <c r="AC62" s="39"/>
      <c r="AD62" s="39"/>
      <c r="AE62" s="36"/>
      <c r="AF62" s="36"/>
      <c r="AG62" s="36"/>
      <c r="AH62" s="36"/>
      <c r="AI62" s="36"/>
      <c r="AJ62" s="36"/>
    </row>
    <row r="63" spans="1:55" s="40" customFormat="1" ht="10.199999999999999" x14ac:dyDescent="0.2">
      <c r="A63" s="33">
        <v>87</v>
      </c>
      <c r="B63" s="34" t="s">
        <v>1176</v>
      </c>
      <c r="C63" s="36" t="s">
        <v>1177</v>
      </c>
      <c r="D63" s="36"/>
      <c r="E63" s="36"/>
      <c r="F63" s="36"/>
      <c r="G63" s="36"/>
      <c r="H63" s="36"/>
      <c r="I63" s="36"/>
      <c r="J63" s="36"/>
      <c r="K63" s="36"/>
      <c r="L63" s="37">
        <v>45343</v>
      </c>
      <c r="M63" s="38">
        <v>45412</v>
      </c>
      <c r="N63" s="39"/>
      <c r="O63" s="39"/>
      <c r="P63" s="39"/>
      <c r="Q63" s="39"/>
      <c r="R63" s="36"/>
      <c r="S63" s="39"/>
      <c r="T63" s="36"/>
      <c r="U63" s="36"/>
      <c r="V63" s="36"/>
      <c r="W63" s="36"/>
      <c r="X63" s="36"/>
      <c r="Y63" s="36"/>
      <c r="Z63" s="36"/>
      <c r="AA63" s="36"/>
      <c r="AB63" s="36"/>
      <c r="AC63" s="39"/>
      <c r="AD63" s="39"/>
      <c r="AE63" s="36"/>
      <c r="AF63" s="36"/>
      <c r="AG63" s="36"/>
      <c r="AH63" s="36"/>
      <c r="AI63" s="36"/>
      <c r="AJ63" s="36"/>
    </row>
    <row r="64" spans="1:55" x14ac:dyDescent="0.3">
      <c r="B64" s="34" t="s">
        <v>1178</v>
      </c>
      <c r="C64" s="36" t="s">
        <v>1179</v>
      </c>
      <c r="D64" s="140" t="s">
        <v>1180</v>
      </c>
      <c r="E64" s="36" t="s">
        <v>61</v>
      </c>
      <c r="F64" s="36" t="s">
        <v>1181</v>
      </c>
      <c r="G64" s="141" t="s">
        <v>1182</v>
      </c>
      <c r="H64" s="39" t="s">
        <v>1183</v>
      </c>
      <c r="I64" s="39" t="s">
        <v>73</v>
      </c>
      <c r="J64" s="39" t="s">
        <v>73</v>
      </c>
      <c r="K64" s="39" t="s">
        <v>43</v>
      </c>
      <c r="L64" s="37">
        <v>45691</v>
      </c>
      <c r="M64" s="38">
        <v>45777</v>
      </c>
      <c r="N64" s="38">
        <v>45778</v>
      </c>
      <c r="O64" s="38">
        <v>45869</v>
      </c>
      <c r="P64" s="38">
        <v>45870</v>
      </c>
      <c r="Q64" s="38">
        <v>45961</v>
      </c>
      <c r="R64" s="39"/>
      <c r="S64" s="39"/>
      <c r="T64" s="39"/>
      <c r="U64" s="39"/>
      <c r="V64" s="36"/>
      <c r="W64" s="36"/>
      <c r="X64" s="36"/>
      <c r="Y64" s="36"/>
      <c r="Z64" s="36"/>
      <c r="AA64" s="36"/>
      <c r="AB64" s="36"/>
      <c r="AC64" s="36"/>
      <c r="AD64" s="39"/>
      <c r="AE64" s="36"/>
      <c r="AF64" s="36"/>
      <c r="AG64" s="36"/>
      <c r="AH64" s="36"/>
      <c r="AI64" s="36"/>
      <c r="AJ64" s="39"/>
    </row>
    <row r="65" spans="2:36" x14ac:dyDescent="0.3">
      <c r="B65" s="72" t="s">
        <v>1184</v>
      </c>
      <c r="C65" s="73" t="s">
        <v>1185</v>
      </c>
      <c r="D65" s="142" t="s">
        <v>1186</v>
      </c>
      <c r="E65" s="73" t="s">
        <v>1187</v>
      </c>
      <c r="F65" s="73" t="s">
        <v>39</v>
      </c>
      <c r="G65" s="143" t="s">
        <v>1188</v>
      </c>
      <c r="H65" s="75" t="s">
        <v>1189</v>
      </c>
      <c r="I65" s="75" t="s">
        <v>1190</v>
      </c>
      <c r="J65" s="75" t="s">
        <v>1191</v>
      </c>
      <c r="K65" s="75" t="s">
        <v>43</v>
      </c>
      <c r="L65" s="74">
        <v>45937</v>
      </c>
      <c r="M65" s="75">
        <v>46022</v>
      </c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3"/>
      <c r="AC65" s="73"/>
      <c r="AD65" s="39"/>
      <c r="AE65" s="36"/>
      <c r="AF65" s="73"/>
      <c r="AG65" s="73"/>
      <c r="AH65" s="73"/>
      <c r="AI65" s="73"/>
      <c r="AJ65" s="75"/>
    </row>
    <row r="66" spans="2:36" x14ac:dyDescent="0.3">
      <c r="B66" s="72" t="s">
        <v>1192</v>
      </c>
      <c r="C66" s="73" t="s">
        <v>1193</v>
      </c>
      <c r="D66" s="142" t="s">
        <v>1194</v>
      </c>
      <c r="E66" s="73" t="s">
        <v>1195</v>
      </c>
      <c r="F66" s="73" t="s">
        <v>962</v>
      </c>
      <c r="G66" s="143" t="s">
        <v>1196</v>
      </c>
      <c r="H66" s="75" t="s">
        <v>1197</v>
      </c>
      <c r="I66" s="75" t="s">
        <v>42</v>
      </c>
      <c r="J66" s="75" t="s">
        <v>42</v>
      </c>
      <c r="K66" s="75" t="s">
        <v>43</v>
      </c>
      <c r="L66" s="74">
        <v>45925</v>
      </c>
      <c r="M66" s="75">
        <v>45961</v>
      </c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3"/>
      <c r="AC66" s="73"/>
      <c r="AD66" s="39"/>
      <c r="AE66" s="36"/>
      <c r="AF66" s="73"/>
      <c r="AG66" s="73"/>
      <c r="AH66" s="73"/>
      <c r="AI66" s="73"/>
      <c r="AJ66" s="75"/>
    </row>
    <row r="67" spans="2:36" x14ac:dyDescent="0.3">
      <c r="B67" s="76" t="s">
        <v>1198</v>
      </c>
      <c r="C67" s="36" t="s">
        <v>1199</v>
      </c>
      <c r="D67" s="142" t="s">
        <v>1200</v>
      </c>
      <c r="E67" s="36" t="s">
        <v>1201</v>
      </c>
      <c r="F67" s="36" t="s">
        <v>1202</v>
      </c>
      <c r="G67" s="141" t="s">
        <v>1203</v>
      </c>
      <c r="H67" s="39" t="s">
        <v>1204</v>
      </c>
      <c r="I67" s="39" t="s">
        <v>73</v>
      </c>
      <c r="J67" s="39" t="s">
        <v>73</v>
      </c>
      <c r="K67" s="39" t="s">
        <v>51</v>
      </c>
      <c r="L67" s="37">
        <v>45474</v>
      </c>
      <c r="M67" s="38">
        <v>45565</v>
      </c>
      <c r="N67" s="39">
        <v>45566</v>
      </c>
      <c r="O67" s="39">
        <v>45657</v>
      </c>
      <c r="P67" s="38">
        <v>45658</v>
      </c>
      <c r="Q67" s="38">
        <v>45688</v>
      </c>
      <c r="R67" s="39">
        <v>45689</v>
      </c>
      <c r="S67" s="39">
        <v>45777</v>
      </c>
      <c r="T67" s="38">
        <v>45778</v>
      </c>
      <c r="U67" s="38">
        <v>45869</v>
      </c>
      <c r="V67" s="38">
        <v>45870</v>
      </c>
      <c r="W67" s="38">
        <v>45961</v>
      </c>
      <c r="X67" s="36"/>
      <c r="Y67" s="36"/>
      <c r="Z67" s="36"/>
      <c r="AA67" s="36"/>
      <c r="AB67" s="36"/>
      <c r="AC67" s="36"/>
      <c r="AD67" s="39"/>
      <c r="AE67" s="36"/>
      <c r="AF67" s="36"/>
      <c r="AG67" s="36"/>
      <c r="AH67" s="36"/>
      <c r="AI67" s="36"/>
      <c r="AJ67" s="39"/>
    </row>
    <row r="68" spans="2:36" x14ac:dyDescent="0.3">
      <c r="B68" s="34" t="s">
        <v>1205</v>
      </c>
      <c r="C68" s="36" t="s">
        <v>1206</v>
      </c>
      <c r="D68" s="140" t="s">
        <v>1207</v>
      </c>
      <c r="E68" s="36" t="s">
        <v>599</v>
      </c>
      <c r="F68" s="36" t="s">
        <v>310</v>
      </c>
      <c r="G68" s="141" t="s">
        <v>1208</v>
      </c>
      <c r="H68" s="39" t="s">
        <v>300</v>
      </c>
      <c r="I68" s="39" t="s">
        <v>299</v>
      </c>
      <c r="J68" s="39" t="s">
        <v>299</v>
      </c>
      <c r="K68" s="78" t="s">
        <v>51</v>
      </c>
      <c r="L68" s="37">
        <v>45677</v>
      </c>
      <c r="M68" s="38">
        <v>45777</v>
      </c>
      <c r="N68" s="38">
        <v>45778</v>
      </c>
      <c r="O68" s="38">
        <v>45869</v>
      </c>
      <c r="P68" s="38">
        <v>45870</v>
      </c>
      <c r="Q68" s="38">
        <v>45961</v>
      </c>
      <c r="R68" s="39"/>
      <c r="S68" s="39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9"/>
      <c r="AE68" s="36"/>
      <c r="AF68" s="36"/>
      <c r="AG68" s="36"/>
      <c r="AH68" s="36"/>
      <c r="AI68" s="36"/>
      <c r="AJ68" s="39"/>
    </row>
    <row r="69" spans="2:36" x14ac:dyDescent="0.3">
      <c r="B69" s="72" t="s">
        <v>1209</v>
      </c>
      <c r="C69" s="73" t="s">
        <v>1210</v>
      </c>
      <c r="D69" s="144" t="s">
        <v>1211</v>
      </c>
      <c r="E69" s="73" t="s">
        <v>1187</v>
      </c>
      <c r="F69" s="73" t="s">
        <v>39</v>
      </c>
      <c r="G69" s="143" t="s">
        <v>1212</v>
      </c>
      <c r="H69" s="75" t="s">
        <v>1213</v>
      </c>
      <c r="I69" s="75" t="s">
        <v>1214</v>
      </c>
      <c r="J69" s="75" t="s">
        <v>42</v>
      </c>
      <c r="K69" s="75" t="s">
        <v>43</v>
      </c>
      <c r="L69" s="74">
        <v>45945</v>
      </c>
      <c r="M69" s="75">
        <v>46022</v>
      </c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39"/>
      <c r="AE69" s="36"/>
      <c r="AF69" s="75"/>
      <c r="AG69" s="75"/>
      <c r="AH69" s="73"/>
      <c r="AI69" s="73"/>
      <c r="AJ69" s="75"/>
    </row>
    <row r="70" spans="2:36" x14ac:dyDescent="0.3">
      <c r="B70" s="34" t="s">
        <v>1215</v>
      </c>
      <c r="C70" s="36" t="s">
        <v>1216</v>
      </c>
      <c r="D70" s="140" t="s">
        <v>1217</v>
      </c>
      <c r="E70" s="36" t="s">
        <v>61</v>
      </c>
      <c r="F70" s="36" t="s">
        <v>1181</v>
      </c>
      <c r="G70" s="141" t="s">
        <v>1218</v>
      </c>
      <c r="H70" s="39" t="s">
        <v>1219</v>
      </c>
      <c r="I70" s="39" t="s">
        <v>42</v>
      </c>
      <c r="J70" s="39" t="s">
        <v>42</v>
      </c>
      <c r="K70" s="39" t="s">
        <v>43</v>
      </c>
      <c r="L70" s="37">
        <v>45358</v>
      </c>
      <c r="M70" s="38">
        <v>45443</v>
      </c>
      <c r="N70" s="38">
        <v>45444</v>
      </c>
      <c r="O70" s="38">
        <v>45535</v>
      </c>
      <c r="P70" s="38">
        <v>45536</v>
      </c>
      <c r="Q70" s="71">
        <v>45626</v>
      </c>
      <c r="R70" s="38">
        <v>45627</v>
      </c>
      <c r="S70" s="38">
        <v>45716</v>
      </c>
      <c r="T70" s="38">
        <v>45717</v>
      </c>
      <c r="U70" s="38">
        <v>45808</v>
      </c>
      <c r="V70" s="38">
        <v>45809</v>
      </c>
      <c r="W70" s="38">
        <v>45900</v>
      </c>
      <c r="X70" s="38">
        <v>45901</v>
      </c>
      <c r="Y70" s="38">
        <v>45961</v>
      </c>
      <c r="Z70" s="36"/>
      <c r="AA70" s="36"/>
      <c r="AB70" s="36"/>
      <c r="AC70" s="36"/>
      <c r="AD70" s="39"/>
      <c r="AE70" s="36"/>
      <c r="AF70" s="36"/>
      <c r="AG70" s="36"/>
      <c r="AH70" s="36"/>
      <c r="AI70" s="36"/>
      <c r="AJ70" s="39"/>
    </row>
    <row r="71" spans="2:36" x14ac:dyDescent="0.3">
      <c r="B71" s="34" t="s">
        <v>1220</v>
      </c>
      <c r="C71" s="36" t="s">
        <v>1221</v>
      </c>
      <c r="D71" s="140" t="s">
        <v>1222</v>
      </c>
      <c r="E71" s="36" t="s">
        <v>1223</v>
      </c>
      <c r="F71" s="36" t="s">
        <v>48</v>
      </c>
      <c r="G71" s="141" t="s">
        <v>1224</v>
      </c>
      <c r="H71" s="39" t="s">
        <v>1225</v>
      </c>
      <c r="I71" s="39" t="s">
        <v>1225</v>
      </c>
      <c r="J71" s="39" t="s">
        <v>1225</v>
      </c>
      <c r="K71" s="39" t="s">
        <v>51</v>
      </c>
      <c r="L71" s="37">
        <v>45090</v>
      </c>
      <c r="M71" s="38">
        <v>45199</v>
      </c>
      <c r="N71" s="38">
        <v>45200</v>
      </c>
      <c r="O71" s="38">
        <v>45291</v>
      </c>
      <c r="P71" s="38">
        <v>45383</v>
      </c>
      <c r="Q71" s="38">
        <v>45473</v>
      </c>
      <c r="R71" s="38">
        <v>45474</v>
      </c>
      <c r="S71" s="38">
        <v>45565</v>
      </c>
      <c r="T71" s="38">
        <v>45566</v>
      </c>
      <c r="U71" s="38">
        <v>45657</v>
      </c>
      <c r="V71" s="38">
        <v>45658</v>
      </c>
      <c r="W71" s="38">
        <v>45747</v>
      </c>
      <c r="X71" s="39">
        <v>45748</v>
      </c>
      <c r="Y71" s="39">
        <v>45838</v>
      </c>
      <c r="Z71" s="38">
        <v>45839</v>
      </c>
      <c r="AA71" s="38">
        <v>45930</v>
      </c>
      <c r="AB71" s="38">
        <v>45931</v>
      </c>
      <c r="AC71" s="38">
        <v>45961</v>
      </c>
      <c r="AD71" s="39"/>
      <c r="AE71" s="36"/>
      <c r="AF71" s="36"/>
      <c r="AG71" s="36"/>
      <c r="AH71" s="36"/>
      <c r="AI71" s="36"/>
      <c r="AJ71" s="39"/>
    </row>
    <row r="72" spans="2:36" x14ac:dyDescent="0.3">
      <c r="B72" s="72" t="s">
        <v>1226</v>
      </c>
      <c r="C72" s="73" t="s">
        <v>1227</v>
      </c>
      <c r="D72" s="142" t="s">
        <v>1228</v>
      </c>
      <c r="E72" s="73" t="s">
        <v>1229</v>
      </c>
      <c r="F72" s="73" t="s">
        <v>131</v>
      </c>
      <c r="G72" s="143" t="s">
        <v>1230</v>
      </c>
      <c r="H72" s="75" t="s">
        <v>1231</v>
      </c>
      <c r="I72" s="75" t="s">
        <v>1214</v>
      </c>
      <c r="J72" s="75" t="s">
        <v>42</v>
      </c>
      <c r="K72" s="75" t="s">
        <v>43</v>
      </c>
      <c r="L72" s="74">
        <v>45925</v>
      </c>
      <c r="M72" s="75">
        <v>46022</v>
      </c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3"/>
      <c r="Y72" s="73"/>
      <c r="Z72" s="73"/>
      <c r="AA72" s="73"/>
      <c r="AB72" s="73"/>
      <c r="AC72" s="73"/>
      <c r="AD72" s="39"/>
      <c r="AE72" s="36"/>
      <c r="AF72" s="73"/>
      <c r="AG72" s="73"/>
      <c r="AH72" s="73"/>
      <c r="AI72" s="73"/>
      <c r="AJ72" s="75"/>
    </row>
    <row r="73" spans="2:36" x14ac:dyDescent="0.3">
      <c r="C73" s="36" t="s">
        <v>1232</v>
      </c>
      <c r="D73" s="140" t="s">
        <v>1233</v>
      </c>
      <c r="E73" s="36" t="s">
        <v>61</v>
      </c>
      <c r="F73" s="36" t="s">
        <v>1181</v>
      </c>
      <c r="G73" s="36"/>
      <c r="H73" s="141" t="s">
        <v>1234</v>
      </c>
      <c r="I73" s="39" t="s">
        <v>1235</v>
      </c>
      <c r="J73" s="39" t="s">
        <v>73</v>
      </c>
      <c r="K73" s="39" t="s">
        <v>1236</v>
      </c>
      <c r="L73" s="39" t="s">
        <v>43</v>
      </c>
      <c r="M73" s="37">
        <v>45040</v>
      </c>
      <c r="N73" s="38">
        <v>45138</v>
      </c>
      <c r="O73" s="38">
        <v>45139</v>
      </c>
      <c r="P73" s="38">
        <v>45230</v>
      </c>
      <c r="Q73" s="38">
        <v>45231</v>
      </c>
      <c r="R73" s="38">
        <v>45260</v>
      </c>
      <c r="S73" s="38">
        <v>45352</v>
      </c>
      <c r="T73" s="38">
        <v>45382</v>
      </c>
      <c r="U73" s="42">
        <v>45261</v>
      </c>
      <c r="V73" s="42">
        <v>45351</v>
      </c>
      <c r="W73" s="77">
        <v>45383</v>
      </c>
      <c r="X73" s="77">
        <v>45412</v>
      </c>
    </row>
    <row r="74" spans="2:36" x14ac:dyDescent="0.3">
      <c r="B74" s="24" t="s">
        <v>386</v>
      </c>
      <c r="C74" s="36" t="s">
        <v>387</v>
      </c>
      <c r="D74" s="140" t="s">
        <v>1237</v>
      </c>
      <c r="E74" s="36" t="s">
        <v>61</v>
      </c>
      <c r="F74" s="36" t="s">
        <v>1181</v>
      </c>
      <c r="G74" s="36"/>
      <c r="H74" s="141" t="s">
        <v>1238</v>
      </c>
      <c r="I74" s="39" t="s">
        <v>348</v>
      </c>
      <c r="J74" s="39" t="s">
        <v>73</v>
      </c>
      <c r="K74" s="39" t="s">
        <v>73</v>
      </c>
      <c r="L74" s="39" t="s">
        <v>43</v>
      </c>
      <c r="M74" s="37">
        <v>45363</v>
      </c>
      <c r="N74" s="38">
        <v>45443</v>
      </c>
    </row>
    <row r="75" spans="2:36" x14ac:dyDescent="0.3">
      <c r="B75" s="24" t="s">
        <v>447</v>
      </c>
      <c r="C75" s="36" t="s">
        <v>448</v>
      </c>
      <c r="D75" s="140" t="s">
        <v>449</v>
      </c>
      <c r="E75" s="36" t="s">
        <v>862</v>
      </c>
      <c r="F75" s="36" t="s">
        <v>862</v>
      </c>
      <c r="G75" s="36"/>
      <c r="H75" s="141" t="s">
        <v>1239</v>
      </c>
      <c r="I75" s="39" t="s">
        <v>1240</v>
      </c>
      <c r="J75" s="39" t="s">
        <v>42</v>
      </c>
      <c r="K75" s="39" t="s">
        <v>42</v>
      </c>
      <c r="L75" s="39" t="s">
        <v>51</v>
      </c>
      <c r="M75" s="37">
        <v>45505</v>
      </c>
      <c r="N75" s="38">
        <v>45596</v>
      </c>
      <c r="O75" s="39">
        <v>45597</v>
      </c>
      <c r="P75" s="39">
        <v>45688</v>
      </c>
      <c r="Q75" s="38">
        <v>45689</v>
      </c>
      <c r="R75" s="38">
        <v>45777</v>
      </c>
      <c r="S75" s="38">
        <v>45778</v>
      </c>
      <c r="T75" s="38">
        <v>45869</v>
      </c>
    </row>
    <row r="76" spans="2:36" x14ac:dyDescent="0.3">
      <c r="B76" s="24" t="s">
        <v>529</v>
      </c>
      <c r="C76" s="36" t="s">
        <v>530</v>
      </c>
      <c r="D76" s="140" t="s">
        <v>1241</v>
      </c>
      <c r="E76" s="36" t="s">
        <v>84</v>
      </c>
      <c r="F76" s="36" t="s">
        <v>48</v>
      </c>
      <c r="G76" s="36"/>
      <c r="H76" s="141" t="s">
        <v>1242</v>
      </c>
      <c r="I76" s="39" t="s">
        <v>1243</v>
      </c>
      <c r="J76" s="39" t="s">
        <v>42</v>
      </c>
      <c r="K76" s="39" t="s">
        <v>42</v>
      </c>
      <c r="L76" s="78" t="s">
        <v>43</v>
      </c>
      <c r="M76" s="37">
        <v>44995</v>
      </c>
      <c r="N76" s="38">
        <v>45169</v>
      </c>
      <c r="O76" s="38">
        <v>45170</v>
      </c>
      <c r="P76" s="38">
        <v>45260</v>
      </c>
      <c r="Q76" s="38">
        <v>45352</v>
      </c>
      <c r="R76" s="38">
        <v>45443</v>
      </c>
      <c r="S76" s="38">
        <v>45444</v>
      </c>
      <c r="T76" s="38">
        <v>45535</v>
      </c>
      <c r="U76" s="42">
        <v>45261</v>
      </c>
      <c r="V76" s="42">
        <v>45351</v>
      </c>
      <c r="W76" s="38">
        <v>45536</v>
      </c>
      <c r="X76" s="38">
        <v>45626</v>
      </c>
      <c r="Y76" s="38">
        <v>45627</v>
      </c>
      <c r="Z76" s="38">
        <v>45716</v>
      </c>
      <c r="AA76" s="38">
        <v>45717</v>
      </c>
      <c r="AB76" s="38">
        <v>45808</v>
      </c>
    </row>
    <row r="77" spans="2:36" x14ac:dyDescent="0.3">
      <c r="B77" s="24" t="s">
        <v>580</v>
      </c>
      <c r="C77" s="36" t="s">
        <v>1244</v>
      </c>
      <c r="D77" s="140" t="s">
        <v>582</v>
      </c>
      <c r="E77" s="36" t="s">
        <v>163</v>
      </c>
      <c r="F77" s="36" t="s">
        <v>310</v>
      </c>
      <c r="G77" s="36"/>
      <c r="H77" s="141" t="s">
        <v>1245</v>
      </c>
      <c r="I77" s="39" t="s">
        <v>1246</v>
      </c>
      <c r="J77" s="39" t="s">
        <v>1246</v>
      </c>
      <c r="K77" s="39" t="s">
        <v>1246</v>
      </c>
      <c r="L77" s="39" t="s">
        <v>43</v>
      </c>
      <c r="M77" s="37">
        <v>45726</v>
      </c>
      <c r="N77" s="39">
        <v>45808</v>
      </c>
      <c r="O77" s="39">
        <v>45809</v>
      </c>
      <c r="P77" s="39">
        <v>45900</v>
      </c>
      <c r="Q77" s="39"/>
    </row>
    <row r="78" spans="2:36" x14ac:dyDescent="0.3">
      <c r="B78" s="24" t="s">
        <v>911</v>
      </c>
      <c r="C78" s="36" t="s">
        <v>1247</v>
      </c>
      <c r="D78" s="140" t="s">
        <v>913</v>
      </c>
      <c r="E78" s="36" t="s">
        <v>61</v>
      </c>
      <c r="F78" s="36" t="s">
        <v>62</v>
      </c>
      <c r="G78" s="36"/>
      <c r="H78" s="141" t="s">
        <v>1248</v>
      </c>
      <c r="I78" s="39" t="s">
        <v>1243</v>
      </c>
      <c r="J78" s="39" t="s">
        <v>42</v>
      </c>
      <c r="K78" s="39" t="s">
        <v>42</v>
      </c>
      <c r="L78" s="39" t="s">
        <v>43</v>
      </c>
      <c r="M78" s="37">
        <v>45139</v>
      </c>
      <c r="N78" s="38">
        <v>45230</v>
      </c>
      <c r="O78" s="38">
        <v>45231</v>
      </c>
      <c r="P78" s="38">
        <v>45260</v>
      </c>
      <c r="Q78" s="38">
        <v>45352</v>
      </c>
      <c r="R78" s="38">
        <v>45443</v>
      </c>
      <c r="S78" s="38">
        <v>45444</v>
      </c>
      <c r="T78" s="38">
        <v>45535</v>
      </c>
      <c r="U78" s="42">
        <v>45261</v>
      </c>
      <c r="V78" s="42">
        <v>45351</v>
      </c>
      <c r="W78" s="38">
        <v>45536</v>
      </c>
      <c r="X78" s="38">
        <v>45626</v>
      </c>
    </row>
    <row r="79" spans="2:36" x14ac:dyDescent="0.3">
      <c r="B79" s="79" t="s">
        <v>1249</v>
      </c>
      <c r="C79" s="8" t="s">
        <v>1250</v>
      </c>
      <c r="D79" s="19" t="s">
        <v>1251</v>
      </c>
      <c r="E79" s="8" t="s">
        <v>398</v>
      </c>
      <c r="F79" s="8" t="s">
        <v>1252</v>
      </c>
      <c r="G79" s="8"/>
      <c r="H79" s="10" t="s">
        <v>1253</v>
      </c>
      <c r="I79" s="11" t="s">
        <v>1254</v>
      </c>
      <c r="J79" s="11" t="s">
        <v>73</v>
      </c>
      <c r="K79" s="11" t="s">
        <v>73</v>
      </c>
      <c r="L79" s="80" t="s">
        <v>51</v>
      </c>
      <c r="M79" s="81">
        <v>45110</v>
      </c>
      <c r="N79" s="80">
        <v>45291</v>
      </c>
      <c r="O79" s="80">
        <v>45565</v>
      </c>
      <c r="P79" s="82"/>
      <c r="Q79" s="82"/>
      <c r="R79" s="80">
        <v>45292</v>
      </c>
      <c r="S79" s="80">
        <v>45382</v>
      </c>
      <c r="T79" s="82"/>
      <c r="U79" s="82"/>
      <c r="V79" s="82"/>
      <c r="W79" s="82"/>
      <c r="X79" s="82"/>
      <c r="Y79" s="82"/>
      <c r="Z79" s="82"/>
      <c r="AA79" s="82"/>
      <c r="AB79" s="82"/>
      <c r="AC79" s="11"/>
      <c r="AD79" s="83">
        <f t="shared" ref="AD79:AD141" si="0">+MAX(M79:AC79)</f>
        <v>45565</v>
      </c>
      <c r="AE79" s="26" t="s">
        <v>1255</v>
      </c>
    </row>
    <row r="80" spans="2:36" x14ac:dyDescent="0.3">
      <c r="B80" s="7" t="s">
        <v>1256</v>
      </c>
      <c r="C80" s="8" t="s">
        <v>1257</v>
      </c>
      <c r="D80" s="19" t="s">
        <v>1258</v>
      </c>
      <c r="E80" s="8" t="s">
        <v>1259</v>
      </c>
      <c r="F80" s="8" t="s">
        <v>70</v>
      </c>
      <c r="G80" s="8"/>
      <c r="H80" s="10" t="s">
        <v>1260</v>
      </c>
      <c r="I80" s="11" t="s">
        <v>1240</v>
      </c>
      <c r="J80" s="11" t="s">
        <v>42</v>
      </c>
      <c r="K80" s="11" t="s">
        <v>42</v>
      </c>
      <c r="L80" s="11" t="s">
        <v>51</v>
      </c>
      <c r="M80" s="84">
        <v>45201</v>
      </c>
      <c r="N80" s="11">
        <v>45291</v>
      </c>
      <c r="O80" s="11">
        <v>45473</v>
      </c>
      <c r="P80" s="11">
        <v>45504</v>
      </c>
      <c r="Q80" s="8"/>
      <c r="R80" s="11">
        <v>45292</v>
      </c>
      <c r="S80" s="11">
        <v>45382</v>
      </c>
      <c r="T80" s="8"/>
      <c r="U80" s="8"/>
      <c r="V80" s="8"/>
      <c r="W80" s="8"/>
      <c r="X80" s="8"/>
      <c r="Y80" s="8"/>
      <c r="Z80" s="8"/>
      <c r="AA80" s="8"/>
      <c r="AB80" s="8"/>
      <c r="AC80" s="11"/>
      <c r="AD80" s="83">
        <f t="shared" si="0"/>
        <v>45504</v>
      </c>
      <c r="AE80" s="26" t="s">
        <v>1255</v>
      </c>
    </row>
    <row r="81" spans="2:31" x14ac:dyDescent="0.3">
      <c r="B81" s="7" t="s">
        <v>1261</v>
      </c>
      <c r="C81" s="8" t="s">
        <v>1262</v>
      </c>
      <c r="D81" s="19" t="s">
        <v>1263</v>
      </c>
      <c r="E81" s="8" t="s">
        <v>1264</v>
      </c>
      <c r="F81" s="8" t="s">
        <v>1265</v>
      </c>
      <c r="G81" s="8"/>
      <c r="H81" s="10" t="s">
        <v>1266</v>
      </c>
      <c r="I81" s="11" t="s">
        <v>1267</v>
      </c>
      <c r="J81" s="11" t="s">
        <v>73</v>
      </c>
      <c r="K81" s="11" t="s">
        <v>73</v>
      </c>
      <c r="L81" s="11" t="s">
        <v>51</v>
      </c>
      <c r="M81" s="84">
        <v>45383</v>
      </c>
      <c r="N81" s="11">
        <v>45473</v>
      </c>
      <c r="O81" s="11">
        <v>45565</v>
      </c>
      <c r="P81" s="11">
        <v>45657</v>
      </c>
      <c r="Q81" s="11">
        <v>45747</v>
      </c>
      <c r="R81" s="11"/>
      <c r="S81" s="11"/>
      <c r="T81" s="11">
        <v>45838</v>
      </c>
      <c r="U81" s="11">
        <v>45930</v>
      </c>
      <c r="V81" s="8"/>
      <c r="W81" s="8"/>
      <c r="X81" s="8"/>
      <c r="Y81" s="8"/>
      <c r="Z81" s="8"/>
      <c r="AA81" s="8"/>
      <c r="AB81" s="8"/>
      <c r="AC81" s="11"/>
      <c r="AD81" s="83">
        <f t="shared" si="0"/>
        <v>45930</v>
      </c>
      <c r="AE81" s="85" t="s">
        <v>1255</v>
      </c>
    </row>
    <row r="82" spans="2:31" x14ac:dyDescent="0.3">
      <c r="B82" s="7" t="s">
        <v>1268</v>
      </c>
      <c r="C82" s="8" t="s">
        <v>1269</v>
      </c>
      <c r="D82" s="19" t="s">
        <v>1270</v>
      </c>
      <c r="E82" s="8" t="s">
        <v>1271</v>
      </c>
      <c r="F82" s="8" t="s">
        <v>70</v>
      </c>
      <c r="G82" s="8"/>
      <c r="H82" s="10" t="s">
        <v>1272</v>
      </c>
      <c r="I82" s="11" t="s">
        <v>1273</v>
      </c>
      <c r="J82" s="11" t="s">
        <v>73</v>
      </c>
      <c r="K82" s="11" t="s">
        <v>73</v>
      </c>
      <c r="L82" s="11" t="s">
        <v>43</v>
      </c>
      <c r="M82" s="84">
        <v>45696</v>
      </c>
      <c r="N82" s="86">
        <v>45777</v>
      </c>
      <c r="O82" s="11">
        <v>45869</v>
      </c>
      <c r="P82" s="11"/>
      <c r="Q82" s="11"/>
      <c r="R82" s="11"/>
      <c r="S82" s="11"/>
      <c r="T82" s="8"/>
      <c r="U82" s="8"/>
      <c r="V82" s="8"/>
      <c r="W82" s="8"/>
      <c r="X82" s="8"/>
      <c r="Y82" s="8"/>
      <c r="Z82" s="8"/>
      <c r="AA82" s="8"/>
      <c r="AB82" s="8"/>
      <c r="AC82" s="11"/>
      <c r="AD82" s="83">
        <f t="shared" si="0"/>
        <v>45869</v>
      </c>
      <c r="AE82" s="26" t="s">
        <v>1255</v>
      </c>
    </row>
    <row r="83" spans="2:31" x14ac:dyDescent="0.3">
      <c r="B83" s="87" t="s">
        <v>1274</v>
      </c>
      <c r="C83" s="8" t="s">
        <v>1275</v>
      </c>
      <c r="D83" s="9" t="s">
        <v>1276</v>
      </c>
      <c r="E83" s="88" t="s">
        <v>1277</v>
      </c>
      <c r="F83" s="88" t="s">
        <v>1278</v>
      </c>
      <c r="G83" s="88"/>
      <c r="H83" s="145" t="s">
        <v>1279</v>
      </c>
      <c r="I83" s="89" t="s">
        <v>42</v>
      </c>
      <c r="J83" s="89" t="s">
        <v>42</v>
      </c>
      <c r="K83" s="89" t="s">
        <v>42</v>
      </c>
      <c r="L83" s="89" t="s">
        <v>43</v>
      </c>
      <c r="M83" s="90">
        <v>45948</v>
      </c>
      <c r="N83" s="89">
        <v>46022</v>
      </c>
      <c r="O83" s="89"/>
      <c r="P83" s="89"/>
      <c r="Q83" s="89"/>
      <c r="R83" s="89"/>
      <c r="S83" s="89"/>
      <c r="T83" s="88"/>
      <c r="U83" s="88"/>
      <c r="V83" s="88"/>
      <c r="W83" s="88"/>
      <c r="X83" s="88"/>
      <c r="Y83" s="88"/>
      <c r="Z83" s="88"/>
      <c r="AA83" s="88"/>
      <c r="AB83" s="88"/>
      <c r="AC83" s="89"/>
      <c r="AD83" s="83">
        <f t="shared" si="0"/>
        <v>46022</v>
      </c>
      <c r="AE83" s="85" t="s">
        <v>1280</v>
      </c>
    </row>
    <row r="84" spans="2:31" x14ac:dyDescent="0.3">
      <c r="B84" s="7" t="s">
        <v>1281</v>
      </c>
      <c r="C84" s="8" t="s">
        <v>1282</v>
      </c>
      <c r="D84" s="19" t="s">
        <v>1283</v>
      </c>
      <c r="E84" s="8" t="s">
        <v>1284</v>
      </c>
      <c r="F84" s="8" t="s">
        <v>1265</v>
      </c>
      <c r="G84" s="8"/>
      <c r="H84" s="10" t="s">
        <v>1285</v>
      </c>
      <c r="I84" s="11" t="s">
        <v>42</v>
      </c>
      <c r="J84" s="11" t="s">
        <v>42</v>
      </c>
      <c r="K84" s="11" t="s">
        <v>42</v>
      </c>
      <c r="L84" s="11" t="s">
        <v>51</v>
      </c>
      <c r="M84" s="84">
        <v>45147</v>
      </c>
      <c r="N84" s="11">
        <v>45230</v>
      </c>
      <c r="O84" s="11">
        <v>45260</v>
      </c>
      <c r="P84" s="11">
        <v>45443</v>
      </c>
      <c r="Q84" s="11">
        <v>45535</v>
      </c>
      <c r="R84" s="11">
        <v>45323</v>
      </c>
      <c r="S84" s="11">
        <v>45351</v>
      </c>
      <c r="T84" s="11">
        <v>45626</v>
      </c>
      <c r="U84" s="11">
        <v>45688</v>
      </c>
      <c r="V84" s="8"/>
      <c r="W84" s="8"/>
      <c r="X84" s="8"/>
      <c r="Y84" s="8"/>
      <c r="Z84" s="8"/>
      <c r="AA84" s="8"/>
      <c r="AB84" s="8"/>
      <c r="AC84" s="11"/>
      <c r="AD84" s="83">
        <f t="shared" si="0"/>
        <v>45688</v>
      </c>
      <c r="AE84" s="85" t="s">
        <v>1286</v>
      </c>
    </row>
    <row r="85" spans="2:31" x14ac:dyDescent="0.3">
      <c r="B85" s="7" t="s">
        <v>1287</v>
      </c>
      <c r="C85" s="8" t="s">
        <v>1288</v>
      </c>
      <c r="D85" s="19" t="s">
        <v>1289</v>
      </c>
      <c r="E85" s="8" t="s">
        <v>1290</v>
      </c>
      <c r="F85" s="8" t="s">
        <v>1115</v>
      </c>
      <c r="G85" s="8"/>
      <c r="H85" s="10" t="s">
        <v>1291</v>
      </c>
      <c r="I85" s="11" t="s">
        <v>1292</v>
      </c>
      <c r="J85" s="11" t="s">
        <v>1293</v>
      </c>
      <c r="K85" s="11" t="s">
        <v>1294</v>
      </c>
      <c r="L85" s="11" t="s">
        <v>51</v>
      </c>
      <c r="M85" s="84">
        <v>45355</v>
      </c>
      <c r="N85" s="11">
        <v>45443</v>
      </c>
      <c r="O85" s="11">
        <v>45535</v>
      </c>
      <c r="P85" s="11">
        <v>45626</v>
      </c>
      <c r="Q85" s="8"/>
      <c r="R85" s="11"/>
      <c r="S85" s="11"/>
      <c r="T85" s="8"/>
      <c r="U85" s="8"/>
      <c r="V85" s="8"/>
      <c r="W85" s="8"/>
      <c r="X85" s="8"/>
      <c r="Y85" s="8"/>
      <c r="Z85" s="8"/>
      <c r="AA85" s="8"/>
      <c r="AB85" s="8"/>
      <c r="AC85" s="11"/>
      <c r="AD85" s="83">
        <f t="shared" si="0"/>
        <v>45626</v>
      </c>
      <c r="AE85" s="26" t="s">
        <v>1255</v>
      </c>
    </row>
    <row r="86" spans="2:31" x14ac:dyDescent="0.3">
      <c r="B86" s="7" t="s">
        <v>1295</v>
      </c>
      <c r="C86" s="8" t="s">
        <v>1296</v>
      </c>
      <c r="D86" s="19" t="s">
        <v>1297</v>
      </c>
      <c r="E86" s="8" t="s">
        <v>61</v>
      </c>
      <c r="F86" s="8" t="s">
        <v>1298</v>
      </c>
      <c r="G86" s="8"/>
      <c r="H86" s="10" t="s">
        <v>1299</v>
      </c>
      <c r="I86" s="11" t="s">
        <v>1254</v>
      </c>
      <c r="J86" s="11" t="s">
        <v>73</v>
      </c>
      <c r="K86" s="11" t="s">
        <v>73</v>
      </c>
      <c r="L86" s="91" t="s">
        <v>43</v>
      </c>
      <c r="M86" s="84">
        <v>45589</v>
      </c>
      <c r="N86" s="11">
        <v>45657</v>
      </c>
      <c r="O86" s="92">
        <v>45747</v>
      </c>
      <c r="P86" s="11">
        <v>45838</v>
      </c>
      <c r="Q86" s="11">
        <v>45930</v>
      </c>
      <c r="R86" s="11"/>
      <c r="S86" s="11"/>
      <c r="T86" s="11"/>
      <c r="U86" s="11"/>
      <c r="V86" s="8"/>
      <c r="W86" s="8"/>
      <c r="X86" s="8"/>
      <c r="Y86" s="8"/>
      <c r="Z86" s="8"/>
      <c r="AA86" s="8"/>
      <c r="AB86" s="8"/>
      <c r="AC86" s="11"/>
      <c r="AD86" s="83">
        <f t="shared" si="0"/>
        <v>45930</v>
      </c>
      <c r="AE86" s="85" t="s">
        <v>1255</v>
      </c>
    </row>
    <row r="87" spans="2:31" x14ac:dyDescent="0.3">
      <c r="B87" s="7" t="s">
        <v>1300</v>
      </c>
      <c r="C87" s="8" t="s">
        <v>1301</v>
      </c>
      <c r="D87" s="19" t="s">
        <v>1302</v>
      </c>
      <c r="E87" s="8" t="s">
        <v>1303</v>
      </c>
      <c r="F87" s="8" t="s">
        <v>310</v>
      </c>
      <c r="G87" s="8"/>
      <c r="H87" s="10" t="s">
        <v>1304</v>
      </c>
      <c r="I87" s="11" t="s">
        <v>790</v>
      </c>
      <c r="J87" s="11" t="s">
        <v>73</v>
      </c>
      <c r="K87" s="11" t="s">
        <v>73</v>
      </c>
      <c r="L87" s="11" t="s">
        <v>51</v>
      </c>
      <c r="M87" s="84">
        <v>45117</v>
      </c>
      <c r="N87" s="11">
        <v>45199</v>
      </c>
      <c r="O87" s="11">
        <v>45291</v>
      </c>
      <c r="P87" s="11">
        <v>45473</v>
      </c>
      <c r="Q87" s="11">
        <v>45565</v>
      </c>
      <c r="R87" s="11">
        <v>45292</v>
      </c>
      <c r="S87" s="11">
        <v>45382</v>
      </c>
      <c r="T87" s="11">
        <v>45657</v>
      </c>
      <c r="U87" s="11">
        <v>45747</v>
      </c>
      <c r="V87" s="8"/>
      <c r="W87" s="8"/>
      <c r="X87" s="8"/>
      <c r="Y87" s="8"/>
      <c r="Z87" s="8"/>
      <c r="AA87" s="8"/>
      <c r="AB87" s="8"/>
      <c r="AC87" s="11"/>
      <c r="AD87" s="83">
        <f t="shared" si="0"/>
        <v>45747</v>
      </c>
      <c r="AE87" s="85" t="s">
        <v>1255</v>
      </c>
    </row>
    <row r="88" spans="2:31" x14ac:dyDescent="0.3">
      <c r="B88" s="7" t="s">
        <v>1305</v>
      </c>
      <c r="C88" s="8" t="s">
        <v>1306</v>
      </c>
      <c r="D88" s="19" t="s">
        <v>1307</v>
      </c>
      <c r="E88" s="8" t="s">
        <v>413</v>
      </c>
      <c r="F88" s="8"/>
      <c r="G88" s="8"/>
      <c r="H88" s="10" t="s">
        <v>1308</v>
      </c>
      <c r="I88" s="11" t="s">
        <v>1309</v>
      </c>
      <c r="J88" s="11" t="s">
        <v>42</v>
      </c>
      <c r="K88" s="11" t="s">
        <v>42</v>
      </c>
      <c r="L88" s="11" t="s">
        <v>43</v>
      </c>
      <c r="M88" s="84">
        <v>45264</v>
      </c>
      <c r="N88" s="11">
        <v>45351</v>
      </c>
      <c r="O88" s="11">
        <v>45443</v>
      </c>
      <c r="P88" s="8"/>
      <c r="Q88" s="8"/>
      <c r="R88" s="8"/>
      <c r="S88" s="8"/>
      <c r="T88" s="8"/>
      <c r="U88" s="8"/>
      <c r="V88" s="8"/>
      <c r="W88" s="8"/>
      <c r="X88" s="8"/>
      <c r="Y88" s="11"/>
      <c r="Z88" s="8"/>
      <c r="AA88" s="8"/>
      <c r="AB88" s="8"/>
      <c r="AC88" s="11"/>
      <c r="AD88" s="83">
        <f t="shared" si="0"/>
        <v>45443</v>
      </c>
      <c r="AE88" s="26" t="s">
        <v>1255</v>
      </c>
    </row>
    <row r="89" spans="2:31" x14ac:dyDescent="0.3">
      <c r="B89" s="87" t="s">
        <v>1310</v>
      </c>
      <c r="C89" s="8" t="s">
        <v>1311</v>
      </c>
      <c r="D89" s="9" t="s">
        <v>1312</v>
      </c>
      <c r="E89" s="88" t="s">
        <v>77</v>
      </c>
      <c r="F89" s="88" t="s">
        <v>1278</v>
      </c>
      <c r="G89" s="88" t="s">
        <v>131</v>
      </c>
      <c r="H89" s="145" t="s">
        <v>1313</v>
      </c>
      <c r="I89" s="89" t="s">
        <v>616</v>
      </c>
      <c r="J89" s="89" t="s">
        <v>1314</v>
      </c>
      <c r="K89" s="89" t="s">
        <v>1315</v>
      </c>
      <c r="L89" s="89" t="s">
        <v>43</v>
      </c>
      <c r="M89" s="90">
        <v>45947</v>
      </c>
      <c r="N89" s="89">
        <v>46022</v>
      </c>
      <c r="O89" s="89"/>
      <c r="P89" s="88"/>
      <c r="Q89" s="88"/>
      <c r="R89" s="88"/>
      <c r="S89" s="88"/>
      <c r="T89" s="88"/>
      <c r="U89" s="88"/>
      <c r="V89" s="88"/>
      <c r="W89" s="88"/>
      <c r="X89" s="88"/>
      <c r="Y89" s="89"/>
      <c r="Z89" s="88"/>
      <c r="AA89" s="88"/>
      <c r="AB89" s="88"/>
      <c r="AC89" s="89"/>
      <c r="AD89" s="83">
        <f t="shared" si="0"/>
        <v>46022</v>
      </c>
      <c r="AE89" s="85" t="s">
        <v>1280</v>
      </c>
    </row>
    <row r="90" spans="2:31" x14ac:dyDescent="0.3">
      <c r="B90" s="7" t="s">
        <v>1316</v>
      </c>
      <c r="C90" s="8" t="s">
        <v>1317</v>
      </c>
      <c r="D90" s="19" t="s">
        <v>1318</v>
      </c>
      <c r="E90" s="8" t="s">
        <v>1319</v>
      </c>
      <c r="F90" s="8"/>
      <c r="G90" s="8"/>
      <c r="H90" s="10" t="s">
        <v>1320</v>
      </c>
      <c r="I90" s="11" t="s">
        <v>1321</v>
      </c>
      <c r="J90" s="11" t="s">
        <v>1322</v>
      </c>
      <c r="K90" s="11" t="s">
        <v>1323</v>
      </c>
      <c r="L90" s="11" t="s">
        <v>51</v>
      </c>
      <c r="M90" s="84">
        <v>45278</v>
      </c>
      <c r="N90" s="11">
        <v>45382</v>
      </c>
      <c r="O90" s="11">
        <v>45412</v>
      </c>
      <c r="P90" s="8"/>
      <c r="Q90" s="8"/>
      <c r="R90" s="8"/>
      <c r="S90" s="8"/>
      <c r="T90" s="8"/>
      <c r="U90" s="8"/>
      <c r="V90" s="8"/>
      <c r="W90" s="8"/>
      <c r="X90" s="8"/>
      <c r="Y90" s="11"/>
      <c r="Z90" s="8"/>
      <c r="AA90" s="8"/>
      <c r="AB90" s="8"/>
      <c r="AC90" s="11"/>
      <c r="AD90" s="83">
        <f t="shared" si="0"/>
        <v>45412</v>
      </c>
      <c r="AE90" s="26" t="s">
        <v>1255</v>
      </c>
    </row>
    <row r="91" spans="2:31" x14ac:dyDescent="0.3">
      <c r="B91" s="93" t="s">
        <v>1324</v>
      </c>
      <c r="C91" s="8" t="s">
        <v>1325</v>
      </c>
      <c r="D91" s="19" t="s">
        <v>1326</v>
      </c>
      <c r="E91" s="8" t="s">
        <v>1327</v>
      </c>
      <c r="F91" s="8" t="s">
        <v>1328</v>
      </c>
      <c r="G91" s="8"/>
      <c r="H91" s="10" t="s">
        <v>1329</v>
      </c>
      <c r="I91" s="11" t="s">
        <v>348</v>
      </c>
      <c r="J91" s="11" t="s">
        <v>73</v>
      </c>
      <c r="K91" s="11" t="s">
        <v>73</v>
      </c>
      <c r="L91" s="11" t="s">
        <v>43</v>
      </c>
      <c r="M91" s="84">
        <v>45647</v>
      </c>
      <c r="N91" s="11">
        <v>45657</v>
      </c>
      <c r="O91" s="11">
        <v>45747</v>
      </c>
      <c r="P91" s="11">
        <v>45777</v>
      </c>
      <c r="Q91" s="11">
        <v>45808</v>
      </c>
      <c r="R91" s="8"/>
      <c r="S91" s="8"/>
      <c r="T91" s="8"/>
      <c r="U91" s="8"/>
      <c r="V91" s="8"/>
      <c r="W91" s="8"/>
      <c r="X91" s="8"/>
      <c r="Y91" s="11"/>
      <c r="Z91" s="8"/>
      <c r="AA91" s="8"/>
      <c r="AB91" s="8"/>
      <c r="AC91" s="11"/>
      <c r="AD91" s="83">
        <f t="shared" si="0"/>
        <v>45808</v>
      </c>
      <c r="AE91" s="26" t="s">
        <v>1255</v>
      </c>
    </row>
    <row r="92" spans="2:31" x14ac:dyDescent="0.3">
      <c r="B92" s="7" t="s">
        <v>1330</v>
      </c>
      <c r="C92" s="8" t="s">
        <v>1331</v>
      </c>
      <c r="D92" s="19" t="s">
        <v>1332</v>
      </c>
      <c r="E92" s="8" t="s">
        <v>1333</v>
      </c>
      <c r="F92" s="8" t="s">
        <v>310</v>
      </c>
      <c r="G92" s="8"/>
      <c r="H92" s="10" t="s">
        <v>1334</v>
      </c>
      <c r="I92" s="11" t="s">
        <v>1335</v>
      </c>
      <c r="J92" s="11" t="s">
        <v>299</v>
      </c>
      <c r="K92" s="11" t="s">
        <v>299</v>
      </c>
      <c r="L92" s="11" t="s">
        <v>51</v>
      </c>
      <c r="M92" s="84">
        <v>45399</v>
      </c>
      <c r="N92" s="11">
        <v>45473</v>
      </c>
      <c r="O92" s="11"/>
      <c r="P92" s="8"/>
      <c r="Q92" s="8"/>
      <c r="R92" s="8"/>
      <c r="S92" s="8"/>
      <c r="T92" s="8"/>
      <c r="U92" s="8"/>
      <c r="V92" s="8"/>
      <c r="W92" s="8"/>
      <c r="X92" s="8"/>
      <c r="Y92" s="11"/>
      <c r="Z92" s="8"/>
      <c r="AA92" s="8"/>
      <c r="AB92" s="8"/>
      <c r="AC92" s="11"/>
      <c r="AD92" s="83">
        <f t="shared" si="0"/>
        <v>45473</v>
      </c>
      <c r="AE92" s="26" t="s">
        <v>1255</v>
      </c>
    </row>
    <row r="93" spans="2:31" x14ac:dyDescent="0.3">
      <c r="B93" s="7" t="s">
        <v>1336</v>
      </c>
      <c r="C93" s="8" t="s">
        <v>1337</v>
      </c>
      <c r="D93" s="9" t="s">
        <v>1338</v>
      </c>
      <c r="E93" s="8" t="s">
        <v>1339</v>
      </c>
      <c r="F93" s="8" t="s">
        <v>39</v>
      </c>
      <c r="G93" s="8"/>
      <c r="H93" s="10" t="s">
        <v>1340</v>
      </c>
      <c r="I93" s="11" t="s">
        <v>1309</v>
      </c>
      <c r="J93" s="11" t="s">
        <v>42</v>
      </c>
      <c r="K93" s="11" t="s">
        <v>42</v>
      </c>
      <c r="L93" s="11" t="s">
        <v>43</v>
      </c>
      <c r="M93" s="84">
        <v>45741</v>
      </c>
      <c r="N93" s="11">
        <v>45838</v>
      </c>
      <c r="O93" s="11"/>
      <c r="P93" s="11"/>
      <c r="Q93" s="11"/>
      <c r="R93" s="11"/>
      <c r="S93" s="11"/>
      <c r="T93" s="11"/>
      <c r="U93" s="8"/>
      <c r="V93" s="8"/>
      <c r="W93" s="8"/>
      <c r="X93" s="8"/>
      <c r="Y93" s="8"/>
      <c r="Z93" s="8"/>
      <c r="AA93" s="8"/>
      <c r="AB93" s="8"/>
      <c r="AC93" s="11"/>
      <c r="AD93" s="83">
        <f t="shared" si="0"/>
        <v>45838</v>
      </c>
      <c r="AE93" s="85" t="s">
        <v>1255</v>
      </c>
    </row>
    <row r="94" spans="2:31" x14ac:dyDescent="0.3">
      <c r="B94" s="87" t="s">
        <v>1341</v>
      </c>
      <c r="C94" s="8" t="s">
        <v>1342</v>
      </c>
      <c r="D94" s="9" t="s">
        <v>1343</v>
      </c>
      <c r="E94" s="88" t="s">
        <v>1344</v>
      </c>
      <c r="F94" s="88" t="s">
        <v>1345</v>
      </c>
      <c r="G94" s="88"/>
      <c r="H94" s="145" t="s">
        <v>1346</v>
      </c>
      <c r="I94" s="89" t="s">
        <v>1189</v>
      </c>
      <c r="J94" s="89" t="s">
        <v>1190</v>
      </c>
      <c r="K94" s="89" t="s">
        <v>1191</v>
      </c>
      <c r="L94" s="89" t="s">
        <v>43</v>
      </c>
      <c r="M94" s="90">
        <v>45818</v>
      </c>
      <c r="N94" s="89">
        <v>45900</v>
      </c>
      <c r="O94" s="89"/>
      <c r="P94" s="89"/>
      <c r="Q94" s="89"/>
      <c r="R94" s="89"/>
      <c r="S94" s="89"/>
      <c r="T94" s="89"/>
      <c r="U94" s="88"/>
      <c r="V94" s="88"/>
      <c r="W94" s="88"/>
      <c r="X94" s="88"/>
      <c r="Y94" s="88"/>
      <c r="Z94" s="88"/>
      <c r="AA94" s="88"/>
      <c r="AB94" s="88"/>
      <c r="AC94" s="89"/>
      <c r="AD94" s="83">
        <f t="shared" si="0"/>
        <v>45900</v>
      </c>
      <c r="AE94" s="85" t="s">
        <v>1286</v>
      </c>
    </row>
    <row r="95" spans="2:31" x14ac:dyDescent="0.3">
      <c r="B95" s="7" t="s">
        <v>1347</v>
      </c>
      <c r="C95" s="8" t="s">
        <v>1348</v>
      </c>
      <c r="D95" s="19" t="s">
        <v>1349</v>
      </c>
      <c r="E95" s="8" t="s">
        <v>1350</v>
      </c>
      <c r="F95" s="8" t="s">
        <v>1252</v>
      </c>
      <c r="G95" s="8"/>
      <c r="H95" s="10" t="s">
        <v>1351</v>
      </c>
      <c r="I95" s="11" t="s">
        <v>1352</v>
      </c>
      <c r="J95" s="11" t="s">
        <v>1353</v>
      </c>
      <c r="K95" s="11" t="s">
        <v>1315</v>
      </c>
      <c r="L95" s="11" t="s">
        <v>51</v>
      </c>
      <c r="M95" s="84">
        <v>45216</v>
      </c>
      <c r="N95" s="11">
        <v>45322</v>
      </c>
      <c r="O95" s="11">
        <v>45504</v>
      </c>
      <c r="P95" s="11">
        <v>45596</v>
      </c>
      <c r="Q95" s="11">
        <v>45688</v>
      </c>
      <c r="R95" s="11">
        <v>45323</v>
      </c>
      <c r="S95" s="11">
        <v>45412</v>
      </c>
      <c r="T95" s="11">
        <v>45716</v>
      </c>
      <c r="U95" s="11">
        <v>45777</v>
      </c>
      <c r="V95" s="8"/>
      <c r="W95" s="8"/>
      <c r="X95" s="8"/>
      <c r="Y95" s="8"/>
      <c r="Z95" s="8"/>
      <c r="AA95" s="8"/>
      <c r="AB95" s="8"/>
      <c r="AC95" s="11"/>
      <c r="AD95" s="83">
        <f t="shared" si="0"/>
        <v>45777</v>
      </c>
      <c r="AE95" s="85" t="s">
        <v>1286</v>
      </c>
    </row>
    <row r="96" spans="2:31" x14ac:dyDescent="0.3">
      <c r="B96" s="7" t="s">
        <v>1354</v>
      </c>
      <c r="C96" s="8" t="s">
        <v>1355</v>
      </c>
      <c r="D96" s="19" t="s">
        <v>1356</v>
      </c>
      <c r="E96" s="8" t="s">
        <v>1357</v>
      </c>
      <c r="F96" s="8" t="s">
        <v>1328</v>
      </c>
      <c r="G96" s="8"/>
      <c r="H96" s="10" t="s">
        <v>1358</v>
      </c>
      <c r="I96" s="11" t="s">
        <v>1235</v>
      </c>
      <c r="J96" s="11" t="s">
        <v>73</v>
      </c>
      <c r="K96" s="11" t="s">
        <v>73</v>
      </c>
      <c r="L96" s="11" t="s">
        <v>43</v>
      </c>
      <c r="M96" s="84">
        <v>45383</v>
      </c>
      <c r="N96" s="11">
        <v>45473</v>
      </c>
      <c r="O96" s="11">
        <v>45565</v>
      </c>
      <c r="P96" s="11">
        <v>45657</v>
      </c>
      <c r="Q96" s="11">
        <v>45747</v>
      </c>
      <c r="R96" s="15"/>
      <c r="S96" s="15"/>
      <c r="T96" s="8"/>
      <c r="U96" s="8"/>
      <c r="V96" s="8"/>
      <c r="W96" s="8"/>
      <c r="X96" s="8"/>
      <c r="Y96" s="8"/>
      <c r="Z96" s="8"/>
      <c r="AA96" s="8"/>
      <c r="AB96" s="8"/>
      <c r="AC96" s="11"/>
      <c r="AD96" s="83">
        <f t="shared" si="0"/>
        <v>45747</v>
      </c>
      <c r="AE96" s="85" t="s">
        <v>1286</v>
      </c>
    </row>
    <row r="97" spans="2:31" x14ac:dyDescent="0.3">
      <c r="B97" s="7" t="s">
        <v>1359</v>
      </c>
      <c r="C97" s="8" t="s">
        <v>1360</v>
      </c>
      <c r="D97" s="19" t="s">
        <v>1361</v>
      </c>
      <c r="E97" s="8" t="s">
        <v>357</v>
      </c>
      <c r="F97" s="8" t="s">
        <v>197</v>
      </c>
      <c r="G97" s="8" t="s">
        <v>885</v>
      </c>
      <c r="H97" s="10" t="s">
        <v>1362</v>
      </c>
      <c r="I97" s="11" t="s">
        <v>42</v>
      </c>
      <c r="J97" s="11" t="s">
        <v>42</v>
      </c>
      <c r="K97" s="11" t="s">
        <v>42</v>
      </c>
      <c r="L97" s="11" t="s">
        <v>43</v>
      </c>
      <c r="M97" s="84">
        <v>45593</v>
      </c>
      <c r="N97" s="11">
        <v>45688</v>
      </c>
      <c r="O97" s="11"/>
      <c r="P97" s="11"/>
      <c r="Q97" s="11"/>
      <c r="R97" s="15"/>
      <c r="S97" s="15"/>
      <c r="T97" s="8"/>
      <c r="U97" s="8"/>
      <c r="V97" s="8"/>
      <c r="W97" s="8"/>
      <c r="X97" s="8"/>
      <c r="Y97" s="8"/>
      <c r="Z97" s="8"/>
      <c r="AA97" s="8"/>
      <c r="AB97" s="8"/>
      <c r="AC97" s="11"/>
      <c r="AD97" s="83">
        <f t="shared" si="0"/>
        <v>45688</v>
      </c>
      <c r="AE97" s="85" t="s">
        <v>1286</v>
      </c>
    </row>
    <row r="98" spans="2:31" x14ac:dyDescent="0.3">
      <c r="B98" s="7" t="s">
        <v>1363</v>
      </c>
      <c r="C98" s="8" t="s">
        <v>1364</v>
      </c>
      <c r="D98" s="19" t="s">
        <v>1365</v>
      </c>
      <c r="E98" s="8" t="s">
        <v>61</v>
      </c>
      <c r="F98" s="8" t="s">
        <v>1181</v>
      </c>
      <c r="G98" s="8"/>
      <c r="H98" s="10" t="s">
        <v>1366</v>
      </c>
      <c r="I98" s="11" t="s">
        <v>1367</v>
      </c>
      <c r="J98" s="11" t="s">
        <v>73</v>
      </c>
      <c r="K98" s="11" t="s">
        <v>73</v>
      </c>
      <c r="L98" s="11" t="s">
        <v>43</v>
      </c>
      <c r="M98" s="84">
        <v>45583</v>
      </c>
      <c r="N98" s="11">
        <v>45657</v>
      </c>
      <c r="O98" s="11">
        <v>45688</v>
      </c>
      <c r="P98" s="11"/>
      <c r="Q98" s="8"/>
      <c r="R98" s="15"/>
      <c r="S98" s="15"/>
      <c r="T98" s="8"/>
      <c r="U98" s="8"/>
      <c r="V98" s="8"/>
      <c r="W98" s="8"/>
      <c r="X98" s="8"/>
      <c r="Y98" s="8"/>
      <c r="Z98" s="8"/>
      <c r="AA98" s="8"/>
      <c r="AB98" s="8"/>
      <c r="AC98" s="11"/>
      <c r="AD98" s="83">
        <f t="shared" si="0"/>
        <v>45688</v>
      </c>
      <c r="AE98" s="85" t="s">
        <v>1286</v>
      </c>
    </row>
    <row r="99" spans="2:31" x14ac:dyDescent="0.3">
      <c r="B99" s="7" t="s">
        <v>1368</v>
      </c>
      <c r="C99" s="8" t="s">
        <v>1369</v>
      </c>
      <c r="D99" s="19" t="s">
        <v>1370</v>
      </c>
      <c r="E99" s="8" t="s">
        <v>599</v>
      </c>
      <c r="F99" s="8" t="s">
        <v>770</v>
      </c>
      <c r="G99" s="8"/>
      <c r="H99" s="10" t="s">
        <v>1371</v>
      </c>
      <c r="I99" s="11" t="s">
        <v>887</v>
      </c>
      <c r="J99" s="11" t="s">
        <v>42</v>
      </c>
      <c r="K99" s="11" t="s">
        <v>42</v>
      </c>
      <c r="L99" s="11" t="s">
        <v>51</v>
      </c>
      <c r="M99" s="84">
        <v>45261</v>
      </c>
      <c r="N99" s="11">
        <v>45351</v>
      </c>
      <c r="O99" s="11">
        <v>45443</v>
      </c>
      <c r="P99" s="11">
        <v>45535</v>
      </c>
      <c r="Q99" s="11">
        <v>45626</v>
      </c>
      <c r="R99" s="11"/>
      <c r="S99" s="11"/>
      <c r="T99" s="11">
        <v>45688</v>
      </c>
      <c r="U99" s="8"/>
      <c r="V99" s="8"/>
      <c r="W99" s="8"/>
      <c r="X99" s="8"/>
      <c r="Y99" s="8"/>
      <c r="Z99" s="8"/>
      <c r="AA99" s="8"/>
      <c r="AB99" s="8"/>
      <c r="AC99" s="11"/>
      <c r="AD99" s="83">
        <f t="shared" si="0"/>
        <v>45688</v>
      </c>
      <c r="AE99" s="85" t="s">
        <v>1286</v>
      </c>
    </row>
    <row r="100" spans="2:31" x14ac:dyDescent="0.3">
      <c r="B100" s="7" t="s">
        <v>1372</v>
      </c>
      <c r="C100" s="8" t="s">
        <v>1373</v>
      </c>
      <c r="D100" s="19" t="s">
        <v>1374</v>
      </c>
      <c r="E100" s="8" t="s">
        <v>1097</v>
      </c>
      <c r="F100" s="8" t="s">
        <v>197</v>
      </c>
      <c r="G100" s="8"/>
      <c r="H100" s="10" t="s">
        <v>1375</v>
      </c>
      <c r="I100" s="11" t="s">
        <v>1376</v>
      </c>
      <c r="J100" s="11" t="s">
        <v>1377</v>
      </c>
      <c r="K100" s="11" t="s">
        <v>1378</v>
      </c>
      <c r="L100" s="11" t="s">
        <v>51</v>
      </c>
      <c r="M100" s="84">
        <v>45236</v>
      </c>
      <c r="N100" s="11">
        <v>45322</v>
      </c>
      <c r="O100" s="11">
        <v>45504</v>
      </c>
      <c r="P100" s="11">
        <v>45596</v>
      </c>
      <c r="Q100" s="11">
        <v>45688</v>
      </c>
      <c r="R100" s="11">
        <v>45323</v>
      </c>
      <c r="S100" s="11">
        <v>45412</v>
      </c>
      <c r="T100" s="11">
        <v>45716</v>
      </c>
      <c r="U100" s="11">
        <v>45777</v>
      </c>
      <c r="V100" s="11"/>
      <c r="W100" s="11"/>
      <c r="X100" s="8"/>
      <c r="Y100" s="8"/>
      <c r="Z100" s="8"/>
      <c r="AA100" s="8"/>
      <c r="AB100" s="8"/>
      <c r="AC100" s="11"/>
      <c r="AD100" s="83">
        <f t="shared" si="0"/>
        <v>45777</v>
      </c>
      <c r="AE100" s="85" t="s">
        <v>1286</v>
      </c>
    </row>
    <row r="101" spans="2:31" x14ac:dyDescent="0.3">
      <c r="B101" s="7" t="s">
        <v>1379</v>
      </c>
      <c r="C101" s="8" t="s">
        <v>1380</v>
      </c>
      <c r="D101" s="19" t="s">
        <v>1381</v>
      </c>
      <c r="E101" s="8" t="s">
        <v>1382</v>
      </c>
      <c r="F101" s="8" t="s">
        <v>1383</v>
      </c>
      <c r="G101" s="8"/>
      <c r="H101" s="10" t="s">
        <v>1384</v>
      </c>
      <c r="I101" s="11" t="s">
        <v>1335</v>
      </c>
      <c r="J101" s="11" t="s">
        <v>299</v>
      </c>
      <c r="K101" s="11" t="s">
        <v>299</v>
      </c>
      <c r="L101" s="11" t="s">
        <v>51</v>
      </c>
      <c r="M101" s="84">
        <v>45572</v>
      </c>
      <c r="N101" s="11">
        <v>45657</v>
      </c>
      <c r="O101" s="11">
        <v>45747</v>
      </c>
      <c r="P101" s="11"/>
      <c r="Q101" s="11"/>
      <c r="R101" s="11"/>
      <c r="S101" s="11"/>
      <c r="T101" s="11"/>
      <c r="U101" s="11"/>
      <c r="V101" s="11"/>
      <c r="W101" s="11"/>
      <c r="X101" s="8"/>
      <c r="Y101" s="8"/>
      <c r="Z101" s="8"/>
      <c r="AA101" s="8"/>
      <c r="AB101" s="8"/>
      <c r="AC101" s="11"/>
      <c r="AD101" s="83">
        <f t="shared" si="0"/>
        <v>45747</v>
      </c>
      <c r="AE101" s="85" t="s">
        <v>1286</v>
      </c>
    </row>
    <row r="102" spans="2:31" x14ac:dyDescent="0.3">
      <c r="B102" s="93" t="s">
        <v>1385</v>
      </c>
      <c r="C102" s="8" t="s">
        <v>1386</v>
      </c>
      <c r="D102" s="19" t="s">
        <v>1387</v>
      </c>
      <c r="E102" s="8" t="s">
        <v>1388</v>
      </c>
      <c r="F102" s="8" t="s">
        <v>1328</v>
      </c>
      <c r="G102" s="8"/>
      <c r="H102" s="10" t="s">
        <v>1389</v>
      </c>
      <c r="I102" s="11" t="s">
        <v>1390</v>
      </c>
      <c r="J102" s="11" t="s">
        <v>73</v>
      </c>
      <c r="K102" s="11" t="s">
        <v>73</v>
      </c>
      <c r="L102" s="11" t="s">
        <v>51</v>
      </c>
      <c r="M102" s="84">
        <v>45397</v>
      </c>
      <c r="N102" s="11">
        <v>45473</v>
      </c>
      <c r="O102" s="11">
        <v>45565</v>
      </c>
      <c r="P102" s="11">
        <v>45657</v>
      </c>
      <c r="Q102" s="11">
        <v>45747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11"/>
      <c r="AD102" s="83">
        <f t="shared" si="0"/>
        <v>45747</v>
      </c>
      <c r="AE102" s="85" t="s">
        <v>1286</v>
      </c>
    </row>
    <row r="103" spans="2:31" x14ac:dyDescent="0.3">
      <c r="B103" s="7" t="s">
        <v>1391</v>
      </c>
      <c r="C103" s="8" t="s">
        <v>1392</v>
      </c>
      <c r="D103" s="19" t="s">
        <v>1393</v>
      </c>
      <c r="E103" s="8" t="s">
        <v>1394</v>
      </c>
      <c r="F103" s="8" t="s">
        <v>1395</v>
      </c>
      <c r="G103" s="8"/>
      <c r="H103" s="10" t="s">
        <v>1396</v>
      </c>
      <c r="I103" s="11" t="s">
        <v>1204</v>
      </c>
      <c r="J103" s="11" t="s">
        <v>73</v>
      </c>
      <c r="K103" s="11" t="s">
        <v>73</v>
      </c>
      <c r="L103" s="11" t="s">
        <v>51</v>
      </c>
      <c r="M103" s="84">
        <v>44931</v>
      </c>
      <c r="N103" s="11">
        <v>45111</v>
      </c>
      <c r="O103" s="11">
        <v>45322</v>
      </c>
      <c r="P103" s="11">
        <v>45504</v>
      </c>
      <c r="Q103" s="11">
        <v>45596</v>
      </c>
      <c r="R103" s="11">
        <v>45323</v>
      </c>
      <c r="S103" s="11">
        <v>45412</v>
      </c>
      <c r="T103" s="11">
        <v>45688</v>
      </c>
      <c r="U103" s="11">
        <v>45777</v>
      </c>
      <c r="V103" s="11">
        <v>45869</v>
      </c>
      <c r="W103" s="11">
        <v>45961</v>
      </c>
      <c r="X103" s="8"/>
      <c r="Y103" s="8"/>
      <c r="Z103" s="8"/>
      <c r="AA103" s="8"/>
      <c r="AB103" s="8"/>
      <c r="AC103" s="11"/>
      <c r="AD103" s="83">
        <f t="shared" si="0"/>
        <v>45961</v>
      </c>
      <c r="AE103" s="85" t="s">
        <v>1255</v>
      </c>
    </row>
    <row r="104" spans="2:31" x14ac:dyDescent="0.3">
      <c r="B104" s="7" t="s">
        <v>1397</v>
      </c>
      <c r="C104" s="8" t="s">
        <v>1398</v>
      </c>
      <c r="D104" s="19" t="s">
        <v>1399</v>
      </c>
      <c r="E104" s="8" t="s">
        <v>1400</v>
      </c>
      <c r="F104" s="8" t="s">
        <v>1401</v>
      </c>
      <c r="G104" s="8"/>
      <c r="H104" s="10" t="s">
        <v>1402</v>
      </c>
      <c r="I104" s="11" t="s">
        <v>790</v>
      </c>
      <c r="J104" s="11" t="s">
        <v>73</v>
      </c>
      <c r="K104" s="11" t="s">
        <v>1236</v>
      </c>
      <c r="L104" s="11" t="s">
        <v>51</v>
      </c>
      <c r="M104" s="84">
        <v>44998</v>
      </c>
      <c r="N104" s="11">
        <v>45169</v>
      </c>
      <c r="O104" s="11">
        <v>45291</v>
      </c>
      <c r="P104" s="11">
        <v>45473</v>
      </c>
      <c r="Q104" s="8"/>
      <c r="R104" s="11">
        <v>45292</v>
      </c>
      <c r="S104" s="11">
        <v>45382</v>
      </c>
      <c r="T104" s="8"/>
      <c r="U104" s="8"/>
      <c r="V104" s="8"/>
      <c r="W104" s="8"/>
      <c r="X104" s="8"/>
      <c r="Y104" s="8"/>
      <c r="Z104" s="8"/>
      <c r="AA104" s="8"/>
      <c r="AB104" s="8"/>
      <c r="AC104" s="11"/>
      <c r="AD104" s="83">
        <f t="shared" si="0"/>
        <v>45473</v>
      </c>
      <c r="AE104" s="26" t="s">
        <v>1255</v>
      </c>
    </row>
    <row r="105" spans="2:31" x14ac:dyDescent="0.3">
      <c r="B105" s="7" t="s">
        <v>1403</v>
      </c>
      <c r="C105" s="8" t="s">
        <v>1404</v>
      </c>
      <c r="D105" s="19" t="s">
        <v>1405</v>
      </c>
      <c r="E105" s="8" t="s">
        <v>1406</v>
      </c>
      <c r="F105" s="8" t="s">
        <v>310</v>
      </c>
      <c r="G105" s="8"/>
      <c r="H105" s="10" t="s">
        <v>1407</v>
      </c>
      <c r="I105" s="11" t="s">
        <v>1408</v>
      </c>
      <c r="J105" s="11" t="s">
        <v>1408</v>
      </c>
      <c r="K105" s="11" t="s">
        <v>1408</v>
      </c>
      <c r="L105" s="11" t="s">
        <v>51</v>
      </c>
      <c r="M105" s="84">
        <v>45195</v>
      </c>
      <c r="N105" s="11">
        <v>45291</v>
      </c>
      <c r="O105" s="11">
        <v>45473</v>
      </c>
      <c r="P105" s="8"/>
      <c r="Q105" s="8"/>
      <c r="R105" s="11">
        <v>45292</v>
      </c>
      <c r="S105" s="11">
        <v>45382</v>
      </c>
      <c r="T105" s="8"/>
      <c r="U105" s="8"/>
      <c r="V105" s="8"/>
      <c r="W105" s="8"/>
      <c r="X105" s="8"/>
      <c r="Y105" s="8"/>
      <c r="Z105" s="8"/>
      <c r="AA105" s="8"/>
      <c r="AB105" s="8"/>
      <c r="AC105" s="11"/>
      <c r="AD105" s="83">
        <f t="shared" si="0"/>
        <v>45473</v>
      </c>
      <c r="AE105" s="26" t="s">
        <v>1255</v>
      </c>
    </row>
    <row r="106" spans="2:31" x14ac:dyDescent="0.3">
      <c r="B106" s="79" t="s">
        <v>1409</v>
      </c>
      <c r="C106" s="8" t="s">
        <v>1410</v>
      </c>
      <c r="D106" s="19" t="s">
        <v>1411</v>
      </c>
      <c r="E106" s="8" t="s">
        <v>69</v>
      </c>
      <c r="F106" s="8" t="s">
        <v>1412</v>
      </c>
      <c r="G106" s="8"/>
      <c r="H106" s="10" t="s">
        <v>1413</v>
      </c>
      <c r="I106" s="11" t="s">
        <v>1414</v>
      </c>
      <c r="J106" s="11" t="s">
        <v>73</v>
      </c>
      <c r="K106" s="11" t="s">
        <v>73</v>
      </c>
      <c r="L106" s="80" t="s">
        <v>43</v>
      </c>
      <c r="M106" s="81">
        <v>45435</v>
      </c>
      <c r="N106" s="80">
        <v>45535</v>
      </c>
      <c r="O106" s="80">
        <v>45565</v>
      </c>
      <c r="P106" s="82"/>
      <c r="Q106" s="82"/>
      <c r="R106" s="80"/>
      <c r="S106" s="80"/>
      <c r="T106" s="82"/>
      <c r="U106" s="82"/>
      <c r="V106" s="82"/>
      <c r="W106" s="82"/>
      <c r="X106" s="82"/>
      <c r="Y106" s="82"/>
      <c r="Z106" s="82"/>
      <c r="AA106" s="82"/>
      <c r="AB106" s="82"/>
      <c r="AC106" s="11"/>
      <c r="AD106" s="83">
        <f t="shared" si="0"/>
        <v>45565</v>
      </c>
      <c r="AE106" s="26" t="s">
        <v>1255</v>
      </c>
    </row>
    <row r="107" spans="2:31" x14ac:dyDescent="0.3">
      <c r="B107" s="7" t="s">
        <v>1415</v>
      </c>
      <c r="C107" s="8" t="s">
        <v>1416</v>
      </c>
      <c r="D107" s="19" t="s">
        <v>1417</v>
      </c>
      <c r="E107" s="8" t="s">
        <v>1418</v>
      </c>
      <c r="F107" s="8" t="s">
        <v>1412</v>
      </c>
      <c r="G107" s="8"/>
      <c r="H107" s="10" t="s">
        <v>1419</v>
      </c>
      <c r="I107" s="11" t="s">
        <v>790</v>
      </c>
      <c r="J107" s="11" t="s">
        <v>73</v>
      </c>
      <c r="K107" s="11" t="s">
        <v>1236</v>
      </c>
      <c r="L107" s="11" t="s">
        <v>51</v>
      </c>
      <c r="M107" s="84">
        <v>45068</v>
      </c>
      <c r="N107" s="11">
        <v>45169</v>
      </c>
      <c r="O107" s="11">
        <v>45260</v>
      </c>
      <c r="P107" s="11">
        <v>45443</v>
      </c>
      <c r="Q107" s="8"/>
      <c r="R107" s="11">
        <v>45261</v>
      </c>
      <c r="S107" s="11">
        <v>45351</v>
      </c>
      <c r="T107" s="8"/>
      <c r="U107" s="8"/>
      <c r="V107" s="8"/>
      <c r="W107" s="8"/>
      <c r="X107" s="8"/>
      <c r="Y107" s="8"/>
      <c r="Z107" s="8"/>
      <c r="AA107" s="8"/>
      <c r="AB107" s="8"/>
      <c r="AC107" s="11"/>
      <c r="AD107" s="83">
        <f t="shared" si="0"/>
        <v>45443</v>
      </c>
      <c r="AE107" s="26" t="s">
        <v>1255</v>
      </c>
    </row>
    <row r="108" spans="2:31" x14ac:dyDescent="0.3">
      <c r="B108" s="7" t="s">
        <v>1420</v>
      </c>
      <c r="C108" s="8" t="s">
        <v>1421</v>
      </c>
      <c r="D108" s="19" t="s">
        <v>1422</v>
      </c>
      <c r="E108" s="8" t="s">
        <v>163</v>
      </c>
      <c r="F108" s="8" t="s">
        <v>310</v>
      </c>
      <c r="G108" s="8"/>
      <c r="H108" s="10" t="s">
        <v>1423</v>
      </c>
      <c r="I108" s="11" t="s">
        <v>1424</v>
      </c>
      <c r="J108" s="11" t="s">
        <v>1424</v>
      </c>
      <c r="K108" s="11" t="s">
        <v>901</v>
      </c>
      <c r="L108" s="11" t="s">
        <v>51</v>
      </c>
      <c r="M108" s="84">
        <v>45117</v>
      </c>
      <c r="N108" s="11">
        <v>45199</v>
      </c>
      <c r="O108" s="11">
        <v>45291</v>
      </c>
      <c r="P108" s="11">
        <v>45473</v>
      </c>
      <c r="Q108" s="11">
        <v>45565</v>
      </c>
      <c r="R108" s="11">
        <v>45292</v>
      </c>
      <c r="S108" s="11">
        <v>45382</v>
      </c>
      <c r="T108" s="11">
        <v>45657</v>
      </c>
      <c r="U108" s="8"/>
      <c r="V108" s="8"/>
      <c r="W108" s="8"/>
      <c r="X108" s="8"/>
      <c r="Y108" s="8"/>
      <c r="Z108" s="8"/>
      <c r="AA108" s="8"/>
      <c r="AB108" s="8"/>
      <c r="AC108" s="11"/>
      <c r="AD108" s="83">
        <f t="shared" si="0"/>
        <v>45657</v>
      </c>
      <c r="AE108" s="85" t="s">
        <v>1255</v>
      </c>
    </row>
    <row r="109" spans="2:31" x14ac:dyDescent="0.3">
      <c r="B109" s="7" t="s">
        <v>1425</v>
      </c>
      <c r="C109" s="8" t="s">
        <v>1426</v>
      </c>
      <c r="D109" s="19" t="s">
        <v>1427</v>
      </c>
      <c r="E109" s="8" t="s">
        <v>108</v>
      </c>
      <c r="F109" s="8" t="s">
        <v>1401</v>
      </c>
      <c r="G109" s="8"/>
      <c r="H109" s="10" t="s">
        <v>1428</v>
      </c>
      <c r="I109" s="11" t="s">
        <v>1429</v>
      </c>
      <c r="J109" s="11" t="s">
        <v>73</v>
      </c>
      <c r="K109" s="11" t="s">
        <v>1236</v>
      </c>
      <c r="L109" s="91" t="s">
        <v>43</v>
      </c>
      <c r="M109" s="84">
        <v>44958</v>
      </c>
      <c r="N109" s="11">
        <v>45138</v>
      </c>
      <c r="O109" s="11">
        <v>45230</v>
      </c>
      <c r="P109" s="11">
        <v>45260</v>
      </c>
      <c r="Q109" s="11">
        <v>45443</v>
      </c>
      <c r="R109" s="11">
        <v>45261</v>
      </c>
      <c r="S109" s="11">
        <v>45351</v>
      </c>
      <c r="T109" s="11">
        <v>45535</v>
      </c>
      <c r="U109" s="11">
        <v>45626</v>
      </c>
      <c r="V109" s="8"/>
      <c r="W109" s="8"/>
      <c r="X109" s="8"/>
      <c r="Y109" s="8"/>
      <c r="Z109" s="8"/>
      <c r="AA109" s="8"/>
      <c r="AB109" s="8"/>
      <c r="AC109" s="11"/>
      <c r="AD109" s="83">
        <f t="shared" si="0"/>
        <v>45626</v>
      </c>
      <c r="AE109" s="26" t="s">
        <v>1255</v>
      </c>
    </row>
    <row r="110" spans="2:31" x14ac:dyDescent="0.3">
      <c r="B110" s="7" t="s">
        <v>1135</v>
      </c>
      <c r="C110" s="8" t="s">
        <v>1136</v>
      </c>
      <c r="D110" s="19" t="s">
        <v>1430</v>
      </c>
      <c r="E110" s="8" t="s">
        <v>1431</v>
      </c>
      <c r="F110" s="8" t="s">
        <v>1432</v>
      </c>
      <c r="G110" s="8"/>
      <c r="H110" s="10" t="s">
        <v>1433</v>
      </c>
      <c r="I110" s="11" t="s">
        <v>1434</v>
      </c>
      <c r="J110" s="11" t="s">
        <v>73</v>
      </c>
      <c r="K110" s="11" t="s">
        <v>73</v>
      </c>
      <c r="L110" s="91" t="s">
        <v>51</v>
      </c>
      <c r="M110" s="84">
        <v>45352</v>
      </c>
      <c r="N110" s="11">
        <v>45443</v>
      </c>
      <c r="O110" s="11">
        <v>45535</v>
      </c>
      <c r="P110" s="11"/>
      <c r="Q110" s="11"/>
      <c r="R110" s="11"/>
      <c r="S110" s="11"/>
      <c r="T110" s="8"/>
      <c r="U110" s="8"/>
      <c r="V110" s="8"/>
      <c r="W110" s="8"/>
      <c r="X110" s="8"/>
      <c r="Y110" s="8"/>
      <c r="Z110" s="8"/>
      <c r="AA110" s="8"/>
      <c r="AB110" s="8"/>
      <c r="AC110" s="11"/>
      <c r="AD110" s="83">
        <f t="shared" si="0"/>
        <v>45535</v>
      </c>
      <c r="AE110" s="26" t="s">
        <v>1255</v>
      </c>
    </row>
    <row r="111" spans="2:31" x14ac:dyDescent="0.3">
      <c r="B111" s="7" t="s">
        <v>1435</v>
      </c>
      <c r="C111" s="8" t="s">
        <v>1436</v>
      </c>
      <c r="D111" s="19" t="s">
        <v>1437</v>
      </c>
      <c r="E111" s="8" t="s">
        <v>1438</v>
      </c>
      <c r="F111" s="8"/>
      <c r="G111" s="8"/>
      <c r="H111" s="146" t="s">
        <v>1439</v>
      </c>
      <c r="I111" s="11" t="s">
        <v>1440</v>
      </c>
      <c r="J111" s="11" t="s">
        <v>73</v>
      </c>
      <c r="K111" s="11" t="s">
        <v>73</v>
      </c>
      <c r="L111" s="11" t="s">
        <v>51</v>
      </c>
      <c r="M111" s="84">
        <v>44927</v>
      </c>
      <c r="N111" s="11">
        <v>45107</v>
      </c>
      <c r="O111" s="11">
        <v>45199</v>
      </c>
      <c r="P111" s="11">
        <v>45291</v>
      </c>
      <c r="Q111" s="11">
        <v>45412</v>
      </c>
      <c r="R111" s="94">
        <v>45292</v>
      </c>
      <c r="S111" s="94">
        <v>45382</v>
      </c>
      <c r="T111" s="8"/>
      <c r="U111" s="8"/>
      <c r="V111" s="8"/>
      <c r="W111" s="8"/>
      <c r="X111" s="8"/>
      <c r="Y111" s="8"/>
      <c r="Z111" s="8"/>
      <c r="AA111" s="8"/>
      <c r="AB111" s="8"/>
      <c r="AC111" s="11"/>
      <c r="AD111" s="83">
        <f t="shared" si="0"/>
        <v>45412</v>
      </c>
      <c r="AE111" s="26" t="s">
        <v>1255</v>
      </c>
    </row>
    <row r="112" spans="2:31" x14ac:dyDescent="0.3">
      <c r="B112" s="7" t="s">
        <v>1441</v>
      </c>
      <c r="C112" s="8" t="s">
        <v>1442</v>
      </c>
      <c r="D112" s="19" t="s">
        <v>1443</v>
      </c>
      <c r="E112" s="8" t="s">
        <v>1444</v>
      </c>
      <c r="F112" s="8" t="s">
        <v>1445</v>
      </c>
      <c r="G112" s="8"/>
      <c r="H112" s="10" t="s">
        <v>1446</v>
      </c>
      <c r="I112" s="11" t="s">
        <v>1447</v>
      </c>
      <c r="J112" s="11" t="s">
        <v>1448</v>
      </c>
      <c r="K112" s="11" t="s">
        <v>42</v>
      </c>
      <c r="L112" s="11" t="s">
        <v>43</v>
      </c>
      <c r="M112" s="84">
        <v>45439</v>
      </c>
      <c r="N112" s="11">
        <v>45535</v>
      </c>
      <c r="O112" s="11">
        <v>45626</v>
      </c>
      <c r="P112" s="11">
        <v>45716</v>
      </c>
      <c r="Q112" s="11">
        <v>45808</v>
      </c>
      <c r="R112" s="94"/>
      <c r="S112" s="94"/>
      <c r="T112" s="11">
        <v>45900</v>
      </c>
      <c r="U112" s="8"/>
      <c r="V112" s="8"/>
      <c r="W112" s="8"/>
      <c r="X112" s="8"/>
      <c r="Y112" s="8"/>
      <c r="Z112" s="8"/>
      <c r="AA112" s="8"/>
      <c r="AB112" s="8"/>
      <c r="AC112" s="11"/>
      <c r="AD112" s="83">
        <f t="shared" si="0"/>
        <v>45900</v>
      </c>
      <c r="AE112" s="26" t="s">
        <v>1255</v>
      </c>
    </row>
    <row r="113" spans="2:31" x14ac:dyDescent="0.3">
      <c r="B113" s="87" t="s">
        <v>1449</v>
      </c>
      <c r="C113" s="8" t="s">
        <v>1450</v>
      </c>
      <c r="D113" s="9" t="s">
        <v>1451</v>
      </c>
      <c r="E113" s="88" t="s">
        <v>440</v>
      </c>
      <c r="F113" s="88" t="s">
        <v>48</v>
      </c>
      <c r="G113" s="88"/>
      <c r="H113" s="145" t="s">
        <v>1452</v>
      </c>
      <c r="I113" s="89" t="s">
        <v>42</v>
      </c>
      <c r="J113" s="89" t="s">
        <v>42</v>
      </c>
      <c r="K113" s="89" t="s">
        <v>42</v>
      </c>
      <c r="L113" s="89" t="s">
        <v>43</v>
      </c>
      <c r="M113" s="90">
        <v>45920</v>
      </c>
      <c r="N113" s="89">
        <v>45961</v>
      </c>
      <c r="O113" s="89"/>
      <c r="P113" s="89"/>
      <c r="Q113" s="89"/>
      <c r="R113" s="89"/>
      <c r="S113" s="89"/>
      <c r="T113" s="89"/>
      <c r="U113" s="88"/>
      <c r="V113" s="88"/>
      <c r="W113" s="88"/>
      <c r="X113" s="88"/>
      <c r="Y113" s="88"/>
      <c r="Z113" s="88"/>
      <c r="AA113" s="88"/>
      <c r="AB113" s="88"/>
      <c r="AC113" s="89"/>
      <c r="AD113" s="83">
        <f t="shared" si="0"/>
        <v>45961</v>
      </c>
      <c r="AE113" s="95" t="s">
        <v>1255</v>
      </c>
    </row>
    <row r="114" spans="2:31" x14ac:dyDescent="0.3">
      <c r="B114" s="93" t="s">
        <v>1453</v>
      </c>
      <c r="C114" s="8" t="s">
        <v>1454</v>
      </c>
      <c r="D114" s="19" t="s">
        <v>1455</v>
      </c>
      <c r="E114" s="8" t="s">
        <v>1456</v>
      </c>
      <c r="F114" s="8" t="s">
        <v>131</v>
      </c>
      <c r="G114" s="8"/>
      <c r="H114" s="10" t="s">
        <v>1457</v>
      </c>
      <c r="I114" s="11" t="s">
        <v>1458</v>
      </c>
      <c r="J114" s="11" t="s">
        <v>73</v>
      </c>
      <c r="K114" s="11" t="s">
        <v>73</v>
      </c>
      <c r="L114" s="11" t="s">
        <v>51</v>
      </c>
      <c r="M114" s="84">
        <v>45323</v>
      </c>
      <c r="N114" s="11">
        <v>45412</v>
      </c>
      <c r="O114" s="11">
        <v>45504</v>
      </c>
      <c r="P114" s="11">
        <v>45596</v>
      </c>
      <c r="Q114" s="11">
        <v>45688</v>
      </c>
      <c r="R114" s="8"/>
      <c r="S114" s="8"/>
      <c r="T114" s="11">
        <v>45777</v>
      </c>
      <c r="U114" s="8"/>
      <c r="V114" s="8"/>
      <c r="W114" s="8"/>
      <c r="X114" s="8"/>
      <c r="Y114" s="8"/>
      <c r="Z114" s="8"/>
      <c r="AA114" s="8"/>
      <c r="AB114" s="8"/>
      <c r="AC114" s="11"/>
      <c r="AD114" s="83">
        <f t="shared" si="0"/>
        <v>45777</v>
      </c>
      <c r="AE114" s="85" t="s">
        <v>1286</v>
      </c>
    </row>
    <row r="115" spans="2:31" x14ac:dyDescent="0.3">
      <c r="B115" s="93" t="s">
        <v>1459</v>
      </c>
      <c r="C115" s="8" t="s">
        <v>1460</v>
      </c>
      <c r="D115" s="19" t="s">
        <v>1461</v>
      </c>
      <c r="E115" s="8" t="s">
        <v>1462</v>
      </c>
      <c r="F115" s="8" t="s">
        <v>131</v>
      </c>
      <c r="G115" s="8"/>
      <c r="H115" s="10" t="s">
        <v>1463</v>
      </c>
      <c r="I115" s="11" t="s">
        <v>1464</v>
      </c>
      <c r="J115" s="11" t="s">
        <v>1465</v>
      </c>
      <c r="K115" s="11" t="s">
        <v>42</v>
      </c>
      <c r="L115" s="11" t="s">
        <v>43</v>
      </c>
      <c r="M115" s="84">
        <v>45627</v>
      </c>
      <c r="N115" s="11">
        <v>45716</v>
      </c>
      <c r="O115" s="11"/>
      <c r="P115" s="11"/>
      <c r="Q115" s="11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11"/>
      <c r="AD115" s="83">
        <f t="shared" si="0"/>
        <v>45716</v>
      </c>
      <c r="AE115" s="26" t="s">
        <v>1255</v>
      </c>
    </row>
    <row r="116" spans="2:31" x14ac:dyDescent="0.3">
      <c r="B116" s="7" t="s">
        <v>1466</v>
      </c>
      <c r="C116" s="8" t="s">
        <v>1467</v>
      </c>
      <c r="D116" s="19" t="s">
        <v>1468</v>
      </c>
      <c r="E116" s="8" t="s">
        <v>108</v>
      </c>
      <c r="F116" s="8" t="s">
        <v>1401</v>
      </c>
      <c r="G116" s="8"/>
      <c r="H116" s="10" t="s">
        <v>1469</v>
      </c>
      <c r="I116" s="11" t="s">
        <v>1309</v>
      </c>
      <c r="J116" s="11" t="s">
        <v>42</v>
      </c>
      <c r="K116" s="11" t="s">
        <v>42</v>
      </c>
      <c r="L116" s="11" t="s">
        <v>43</v>
      </c>
      <c r="M116" s="84">
        <v>45078</v>
      </c>
      <c r="N116" s="11">
        <v>45169</v>
      </c>
      <c r="O116" s="11">
        <v>45291</v>
      </c>
      <c r="P116" s="11">
        <v>45473</v>
      </c>
      <c r="Q116" s="8"/>
      <c r="R116" s="11">
        <v>45292</v>
      </c>
      <c r="S116" s="11">
        <v>45382</v>
      </c>
      <c r="T116" s="8"/>
      <c r="U116" s="8"/>
      <c r="V116" s="8"/>
      <c r="W116" s="8"/>
      <c r="X116" s="8"/>
      <c r="Y116" s="8"/>
      <c r="Z116" s="8"/>
      <c r="AA116" s="8"/>
      <c r="AB116" s="8"/>
      <c r="AC116" s="11"/>
      <c r="AD116" s="83">
        <f t="shared" si="0"/>
        <v>45473</v>
      </c>
      <c r="AE116" s="26" t="s">
        <v>1255</v>
      </c>
    </row>
    <row r="117" spans="2:31" x14ac:dyDescent="0.3">
      <c r="B117" s="96" t="s">
        <v>1470</v>
      </c>
      <c r="C117" s="8" t="s">
        <v>1471</v>
      </c>
      <c r="D117" s="147" t="s">
        <v>1472</v>
      </c>
      <c r="E117" s="97" t="s">
        <v>61</v>
      </c>
      <c r="F117" s="97" t="s">
        <v>1181</v>
      </c>
      <c r="G117" s="97"/>
      <c r="H117" s="148" t="s">
        <v>1473</v>
      </c>
      <c r="I117" s="98" t="s">
        <v>1474</v>
      </c>
      <c r="J117" s="98" t="s">
        <v>1475</v>
      </c>
      <c r="K117" s="98" t="s">
        <v>1246</v>
      </c>
      <c r="L117" s="98" t="s">
        <v>43</v>
      </c>
      <c r="M117" s="99">
        <v>45579</v>
      </c>
      <c r="N117" s="98">
        <v>45657</v>
      </c>
      <c r="O117" s="98">
        <v>45747</v>
      </c>
      <c r="P117" s="98">
        <v>45838</v>
      </c>
      <c r="Q117" s="97"/>
      <c r="R117" s="98"/>
      <c r="S117" s="98"/>
      <c r="T117" s="97"/>
      <c r="U117" s="97"/>
      <c r="V117" s="97"/>
      <c r="W117" s="97"/>
      <c r="X117" s="97"/>
      <c r="Y117" s="97"/>
      <c r="Z117" s="97"/>
      <c r="AA117" s="97"/>
      <c r="AB117" s="97"/>
      <c r="AC117" s="98"/>
      <c r="AD117" s="83">
        <f t="shared" si="0"/>
        <v>45838</v>
      </c>
      <c r="AE117" s="85" t="s">
        <v>1286</v>
      </c>
    </row>
    <row r="118" spans="2:31" x14ac:dyDescent="0.3">
      <c r="B118" s="7" t="s">
        <v>1476</v>
      </c>
      <c r="C118" s="8" t="s">
        <v>1477</v>
      </c>
      <c r="D118" s="19" t="s">
        <v>1478</v>
      </c>
      <c r="E118" s="8" t="s">
        <v>574</v>
      </c>
      <c r="F118" s="8"/>
      <c r="G118" s="8"/>
      <c r="H118" s="10" t="s">
        <v>1479</v>
      </c>
      <c r="I118" s="11" t="s">
        <v>1240</v>
      </c>
      <c r="J118" s="11" t="s">
        <v>42</v>
      </c>
      <c r="K118" s="11" t="s">
        <v>42</v>
      </c>
      <c r="L118" s="11" t="s">
        <v>43</v>
      </c>
      <c r="M118" s="84">
        <v>45271</v>
      </c>
      <c r="N118" s="11">
        <v>45351</v>
      </c>
      <c r="O118" s="11">
        <v>45443</v>
      </c>
      <c r="P118" s="11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11"/>
      <c r="AD118" s="83">
        <f t="shared" si="0"/>
        <v>45443</v>
      </c>
      <c r="AE118" s="26" t="s">
        <v>1255</v>
      </c>
    </row>
    <row r="119" spans="2:31" x14ac:dyDescent="0.3">
      <c r="B119" s="100" t="s">
        <v>1480</v>
      </c>
      <c r="C119" s="8" t="s">
        <v>1481</v>
      </c>
      <c r="D119" s="9" t="s">
        <v>1482</v>
      </c>
      <c r="E119" s="88" t="s">
        <v>1187</v>
      </c>
      <c r="F119" s="88" t="s">
        <v>39</v>
      </c>
      <c r="G119" s="88"/>
      <c r="H119" s="88" t="s">
        <v>1483</v>
      </c>
      <c r="I119" s="89" t="s">
        <v>1243</v>
      </c>
      <c r="J119" s="89" t="s">
        <v>42</v>
      </c>
      <c r="K119" s="89" t="s">
        <v>42</v>
      </c>
      <c r="L119" s="89" t="s">
        <v>43</v>
      </c>
      <c r="M119" s="90">
        <v>45943</v>
      </c>
      <c r="N119" s="90">
        <v>46022</v>
      </c>
      <c r="O119" s="89"/>
      <c r="P119" s="89"/>
      <c r="Q119" s="89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9"/>
      <c r="AD119" s="83">
        <f t="shared" si="0"/>
        <v>46022</v>
      </c>
      <c r="AE119" s="85" t="s">
        <v>1280</v>
      </c>
    </row>
    <row r="120" spans="2:31" x14ac:dyDescent="0.3">
      <c r="B120" s="7" t="s">
        <v>1484</v>
      </c>
      <c r="C120" s="8" t="s">
        <v>1485</v>
      </c>
      <c r="D120" s="19" t="s">
        <v>1486</v>
      </c>
      <c r="E120" s="8" t="s">
        <v>1487</v>
      </c>
      <c r="F120" s="8" t="s">
        <v>48</v>
      </c>
      <c r="G120" s="8"/>
      <c r="H120" s="10" t="s">
        <v>1402</v>
      </c>
      <c r="I120" s="11" t="s">
        <v>1183</v>
      </c>
      <c r="J120" s="11" t="s">
        <v>73</v>
      </c>
      <c r="K120" s="11" t="s">
        <v>73</v>
      </c>
      <c r="L120" s="11" t="s">
        <v>51</v>
      </c>
      <c r="M120" s="84">
        <v>44973</v>
      </c>
      <c r="N120" s="11">
        <v>45138</v>
      </c>
      <c r="O120" s="11">
        <v>45230</v>
      </c>
      <c r="P120" s="11">
        <v>45322</v>
      </c>
      <c r="Q120" s="11">
        <v>45596</v>
      </c>
      <c r="R120" s="11">
        <v>45323</v>
      </c>
      <c r="S120" s="11">
        <v>45412</v>
      </c>
      <c r="T120" s="11">
        <v>45777</v>
      </c>
      <c r="U120" s="8"/>
      <c r="V120" s="8"/>
      <c r="W120" s="8"/>
      <c r="X120" s="8"/>
      <c r="Y120" s="8"/>
      <c r="Z120" s="8"/>
      <c r="AA120" s="8"/>
      <c r="AB120" s="8"/>
      <c r="AC120" s="11"/>
      <c r="AD120" s="83">
        <f t="shared" si="0"/>
        <v>45777</v>
      </c>
      <c r="AE120" s="85" t="s">
        <v>1286</v>
      </c>
    </row>
    <row r="121" spans="2:31" x14ac:dyDescent="0.3">
      <c r="B121" s="7" t="s">
        <v>1488</v>
      </c>
      <c r="C121" s="8" t="s">
        <v>1489</v>
      </c>
      <c r="D121" s="19" t="s">
        <v>1490</v>
      </c>
      <c r="E121" s="8" t="s">
        <v>1069</v>
      </c>
      <c r="F121" s="8" t="s">
        <v>70</v>
      </c>
      <c r="G121" s="8"/>
      <c r="H121" s="10" t="s">
        <v>1491</v>
      </c>
      <c r="I121" s="11" t="s">
        <v>1219</v>
      </c>
      <c r="J121" s="11" t="s">
        <v>42</v>
      </c>
      <c r="K121" s="11" t="s">
        <v>42</v>
      </c>
      <c r="L121" s="91" t="s">
        <v>43</v>
      </c>
      <c r="M121" s="84">
        <v>44964</v>
      </c>
      <c r="N121" s="11">
        <v>45138</v>
      </c>
      <c r="O121" s="11">
        <v>45230</v>
      </c>
      <c r="P121" s="11">
        <v>45260</v>
      </c>
      <c r="Q121" s="11">
        <v>45443</v>
      </c>
      <c r="R121" s="11">
        <v>45261</v>
      </c>
      <c r="S121" s="11">
        <v>45351</v>
      </c>
      <c r="T121" s="11">
        <v>45535</v>
      </c>
      <c r="U121" s="11">
        <v>45626</v>
      </c>
      <c r="V121" s="8"/>
      <c r="W121" s="8"/>
      <c r="X121" s="8"/>
      <c r="Y121" s="8"/>
      <c r="Z121" s="8"/>
      <c r="AA121" s="8"/>
      <c r="AB121" s="8"/>
      <c r="AC121" s="11"/>
      <c r="AD121" s="83">
        <f t="shared" si="0"/>
        <v>45626</v>
      </c>
      <c r="AE121" s="26" t="s">
        <v>1255</v>
      </c>
    </row>
    <row r="122" spans="2:31" x14ac:dyDescent="0.3">
      <c r="B122" s="7" t="s">
        <v>1492</v>
      </c>
      <c r="C122" s="8" t="s">
        <v>1493</v>
      </c>
      <c r="D122" s="19" t="s">
        <v>1494</v>
      </c>
      <c r="E122" s="8" t="s">
        <v>196</v>
      </c>
      <c r="F122" s="8" t="s">
        <v>197</v>
      </c>
      <c r="G122" s="8"/>
      <c r="H122" s="10" t="s">
        <v>1495</v>
      </c>
      <c r="I122" s="11" t="s">
        <v>42</v>
      </c>
      <c r="J122" s="11" t="s">
        <v>42</v>
      </c>
      <c r="K122" s="11" t="s">
        <v>42</v>
      </c>
      <c r="L122" s="11" t="s">
        <v>51</v>
      </c>
      <c r="M122" s="84">
        <v>45139</v>
      </c>
      <c r="N122" s="11">
        <v>45230</v>
      </c>
      <c r="O122" s="11">
        <v>45260</v>
      </c>
      <c r="P122" s="11">
        <v>45443</v>
      </c>
      <c r="Q122" s="11">
        <v>45535</v>
      </c>
      <c r="R122" s="11">
        <v>45261</v>
      </c>
      <c r="S122" s="11">
        <v>45351</v>
      </c>
      <c r="T122" s="11">
        <v>45626</v>
      </c>
      <c r="U122" s="11">
        <v>45716</v>
      </c>
      <c r="V122" s="11">
        <v>45747</v>
      </c>
      <c r="W122" s="11">
        <v>45808</v>
      </c>
      <c r="X122" s="11">
        <v>45838</v>
      </c>
      <c r="Y122" s="8"/>
      <c r="Z122" s="8"/>
      <c r="AA122" s="8"/>
      <c r="AB122" s="8"/>
      <c r="AC122" s="11"/>
      <c r="AD122" s="83">
        <f t="shared" si="0"/>
        <v>45838</v>
      </c>
      <c r="AE122" s="85" t="s">
        <v>1286</v>
      </c>
    </row>
    <row r="123" spans="2:31" x14ac:dyDescent="0.3">
      <c r="B123" s="7" t="s">
        <v>1496</v>
      </c>
      <c r="C123" s="8" t="s">
        <v>1497</v>
      </c>
      <c r="D123" s="19" t="s">
        <v>1498</v>
      </c>
      <c r="E123" s="8" t="s">
        <v>1499</v>
      </c>
      <c r="F123" s="8" t="s">
        <v>1395</v>
      </c>
      <c r="G123" s="8"/>
      <c r="H123" s="10" t="s">
        <v>1500</v>
      </c>
      <c r="I123" s="11" t="s">
        <v>1254</v>
      </c>
      <c r="J123" s="11" t="s">
        <v>73</v>
      </c>
      <c r="K123" s="11" t="s">
        <v>73</v>
      </c>
      <c r="L123" s="11" t="s">
        <v>51</v>
      </c>
      <c r="M123" s="84">
        <v>45299</v>
      </c>
      <c r="N123" s="11">
        <v>45473</v>
      </c>
      <c r="O123" s="11"/>
      <c r="P123" s="11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11"/>
      <c r="AD123" s="83">
        <f t="shared" si="0"/>
        <v>45473</v>
      </c>
      <c r="AE123" s="26" t="s">
        <v>1255</v>
      </c>
    </row>
    <row r="124" spans="2:31" x14ac:dyDescent="0.3">
      <c r="B124" s="87" t="s">
        <v>1501</v>
      </c>
      <c r="C124" s="8" t="s">
        <v>1502</v>
      </c>
      <c r="D124" s="9" t="s">
        <v>1503</v>
      </c>
      <c r="E124" s="88" t="s">
        <v>1504</v>
      </c>
      <c r="F124" s="88" t="s">
        <v>962</v>
      </c>
      <c r="G124" s="88"/>
      <c r="H124" s="145" t="s">
        <v>1505</v>
      </c>
      <c r="I124" s="89" t="s">
        <v>1414</v>
      </c>
      <c r="J124" s="89" t="s">
        <v>73</v>
      </c>
      <c r="K124" s="89" t="s">
        <v>1236</v>
      </c>
      <c r="L124" s="89" t="s">
        <v>51</v>
      </c>
      <c r="M124" s="90">
        <v>45931</v>
      </c>
      <c r="N124" s="89">
        <v>46022</v>
      </c>
      <c r="O124" s="89"/>
      <c r="P124" s="89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9"/>
      <c r="AD124" s="83">
        <f t="shared" si="0"/>
        <v>46022</v>
      </c>
      <c r="AE124" s="85" t="s">
        <v>1280</v>
      </c>
    </row>
    <row r="125" spans="2:31" x14ac:dyDescent="0.3">
      <c r="B125" s="7" t="s">
        <v>1506</v>
      </c>
      <c r="C125" s="8" t="s">
        <v>1507</v>
      </c>
      <c r="D125" s="19" t="s">
        <v>1508</v>
      </c>
      <c r="E125" s="8" t="s">
        <v>1509</v>
      </c>
      <c r="F125" s="8" t="s">
        <v>48</v>
      </c>
      <c r="G125" s="8"/>
      <c r="H125" s="146" t="s">
        <v>1510</v>
      </c>
      <c r="I125" s="11" t="s">
        <v>1511</v>
      </c>
      <c r="J125" s="11" t="s">
        <v>1408</v>
      </c>
      <c r="K125" s="11"/>
      <c r="L125" s="11" t="s">
        <v>51</v>
      </c>
      <c r="M125" s="84">
        <v>45391</v>
      </c>
      <c r="N125" s="11">
        <v>45473</v>
      </c>
      <c r="O125" s="11"/>
      <c r="P125" s="11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11"/>
      <c r="AD125" s="83">
        <f t="shared" si="0"/>
        <v>45473</v>
      </c>
      <c r="AE125" s="26" t="s">
        <v>1255</v>
      </c>
    </row>
    <row r="126" spans="2:31" x14ac:dyDescent="0.3">
      <c r="B126" s="7" t="s">
        <v>1512</v>
      </c>
      <c r="C126" s="8" t="s">
        <v>1513</v>
      </c>
      <c r="D126" s="19" t="s">
        <v>1514</v>
      </c>
      <c r="E126" s="8" t="s">
        <v>210</v>
      </c>
      <c r="F126" s="8" t="s">
        <v>1401</v>
      </c>
      <c r="G126" s="8"/>
      <c r="H126" s="10" t="s">
        <v>1515</v>
      </c>
      <c r="I126" s="11" t="s">
        <v>1516</v>
      </c>
      <c r="J126" s="11" t="s">
        <v>73</v>
      </c>
      <c r="K126" s="11" t="s">
        <v>73</v>
      </c>
      <c r="L126" s="11" t="s">
        <v>51</v>
      </c>
      <c r="M126" s="84">
        <v>44938</v>
      </c>
      <c r="N126" s="11">
        <v>45088</v>
      </c>
      <c r="O126" s="11">
        <v>45199</v>
      </c>
      <c r="P126" s="11">
        <v>45291</v>
      </c>
      <c r="Q126" s="11">
        <v>45473</v>
      </c>
      <c r="R126" s="11">
        <v>45292</v>
      </c>
      <c r="S126" s="11">
        <v>45382</v>
      </c>
      <c r="T126" s="11">
        <v>45565</v>
      </c>
      <c r="U126" s="11">
        <v>45657</v>
      </c>
      <c r="V126" s="11">
        <v>45688</v>
      </c>
      <c r="W126" s="11">
        <v>45747</v>
      </c>
      <c r="X126" s="8"/>
      <c r="Y126" s="8"/>
      <c r="Z126" s="8"/>
      <c r="AA126" s="8"/>
      <c r="AB126" s="8"/>
      <c r="AC126" s="11"/>
      <c r="AD126" s="83">
        <f t="shared" si="0"/>
        <v>45747</v>
      </c>
      <c r="AE126" s="85" t="s">
        <v>1286</v>
      </c>
    </row>
    <row r="127" spans="2:31" x14ac:dyDescent="0.3">
      <c r="B127" s="7" t="s">
        <v>1517</v>
      </c>
      <c r="C127" s="8" t="s">
        <v>1518</v>
      </c>
      <c r="D127" s="19" t="s">
        <v>1519</v>
      </c>
      <c r="E127" s="8" t="s">
        <v>1438</v>
      </c>
      <c r="F127" s="8"/>
      <c r="G127" s="8"/>
      <c r="H127" s="10" t="s">
        <v>1520</v>
      </c>
      <c r="I127" s="11" t="s">
        <v>276</v>
      </c>
      <c r="J127" s="11" t="s">
        <v>73</v>
      </c>
      <c r="K127" s="11" t="s">
        <v>73</v>
      </c>
      <c r="L127" s="11" t="s">
        <v>51</v>
      </c>
      <c r="M127" s="84">
        <v>44594</v>
      </c>
      <c r="N127" s="11">
        <v>44666</v>
      </c>
      <c r="O127" s="11"/>
      <c r="P127" s="11"/>
      <c r="Q127" s="11"/>
      <c r="R127" s="11">
        <v>45412</v>
      </c>
      <c r="S127" s="11"/>
      <c r="T127" s="11"/>
      <c r="U127" s="11"/>
      <c r="V127" s="11"/>
      <c r="W127" s="8"/>
      <c r="X127" s="8"/>
      <c r="Y127" s="8"/>
      <c r="Z127" s="8"/>
      <c r="AA127" s="8"/>
      <c r="AB127" s="8"/>
      <c r="AC127" s="11"/>
      <c r="AD127" s="83">
        <f t="shared" si="0"/>
        <v>45412</v>
      </c>
      <c r="AE127" s="26" t="s">
        <v>1255</v>
      </c>
    </row>
    <row r="128" spans="2:31" x14ac:dyDescent="0.3">
      <c r="B128" s="7" t="s">
        <v>1521</v>
      </c>
      <c r="C128" s="8" t="s">
        <v>1522</v>
      </c>
      <c r="D128" s="19" t="s">
        <v>1523</v>
      </c>
      <c r="E128" s="8" t="s">
        <v>1524</v>
      </c>
      <c r="F128" s="8" t="s">
        <v>131</v>
      </c>
      <c r="G128" s="8"/>
      <c r="H128" s="10" t="s">
        <v>1525</v>
      </c>
      <c r="I128" s="11" t="s">
        <v>901</v>
      </c>
      <c r="J128" s="11" t="s">
        <v>901</v>
      </c>
      <c r="K128" s="11" t="s">
        <v>901</v>
      </c>
      <c r="L128" s="94" t="s">
        <v>43</v>
      </c>
      <c r="M128" s="84">
        <v>45680</v>
      </c>
      <c r="N128" s="11">
        <v>45777</v>
      </c>
      <c r="O128" s="11">
        <v>45869</v>
      </c>
      <c r="P128" s="11">
        <v>45930</v>
      </c>
      <c r="Q128" s="11"/>
      <c r="R128" s="8"/>
      <c r="S128" s="8"/>
      <c r="T128" s="11"/>
      <c r="U128" s="11"/>
      <c r="V128" s="8"/>
      <c r="W128" s="8"/>
      <c r="X128" s="8"/>
      <c r="Y128" s="8"/>
      <c r="Z128" s="8"/>
      <c r="AA128" s="8"/>
      <c r="AB128" s="8"/>
      <c r="AC128" s="11"/>
      <c r="AD128" s="83">
        <f t="shared" si="0"/>
        <v>45930</v>
      </c>
      <c r="AE128" s="85" t="s">
        <v>1255</v>
      </c>
    </row>
    <row r="129" spans="2:31" x14ac:dyDescent="0.3">
      <c r="B129" s="7" t="s">
        <v>1526</v>
      </c>
      <c r="C129" s="8" t="s">
        <v>1527</v>
      </c>
      <c r="D129" s="19" t="s">
        <v>1528</v>
      </c>
      <c r="E129" s="8" t="s">
        <v>1462</v>
      </c>
      <c r="F129" s="8" t="s">
        <v>131</v>
      </c>
      <c r="G129" s="8"/>
      <c r="H129" s="10" t="s">
        <v>1529</v>
      </c>
      <c r="I129" s="11" t="s">
        <v>1219</v>
      </c>
      <c r="J129" s="11" t="s">
        <v>42</v>
      </c>
      <c r="K129" s="11" t="s">
        <v>42</v>
      </c>
      <c r="L129" s="94" t="s">
        <v>43</v>
      </c>
      <c r="M129" s="84">
        <v>45719</v>
      </c>
      <c r="N129" s="11">
        <v>45808</v>
      </c>
      <c r="O129" s="11"/>
      <c r="P129" s="11"/>
      <c r="Q129" s="11"/>
      <c r="R129" s="8"/>
      <c r="S129" s="8"/>
      <c r="T129" s="11"/>
      <c r="U129" s="11"/>
      <c r="V129" s="8"/>
      <c r="W129" s="8"/>
      <c r="X129" s="8"/>
      <c r="Y129" s="8"/>
      <c r="Z129" s="8"/>
      <c r="AA129" s="8"/>
      <c r="AB129" s="8"/>
      <c r="AC129" s="11"/>
      <c r="AD129" s="83">
        <f t="shared" si="0"/>
        <v>45808</v>
      </c>
      <c r="AE129" s="85" t="s">
        <v>1255</v>
      </c>
    </row>
    <row r="130" spans="2:31" x14ac:dyDescent="0.3">
      <c r="B130" s="7" t="s">
        <v>1530</v>
      </c>
      <c r="C130" s="8" t="s">
        <v>1531</v>
      </c>
      <c r="D130" s="19" t="s">
        <v>1532</v>
      </c>
      <c r="E130" s="8" t="s">
        <v>1444</v>
      </c>
      <c r="F130" s="8" t="s">
        <v>131</v>
      </c>
      <c r="G130" s="8"/>
      <c r="H130" s="10" t="s">
        <v>1533</v>
      </c>
      <c r="I130" s="11" t="s">
        <v>1534</v>
      </c>
      <c r="J130" s="11" t="s">
        <v>1448</v>
      </c>
      <c r="K130" s="11" t="s">
        <v>42</v>
      </c>
      <c r="L130" s="11" t="s">
        <v>43</v>
      </c>
      <c r="M130" s="84">
        <v>45707</v>
      </c>
      <c r="N130" s="11">
        <v>45808</v>
      </c>
      <c r="O130" s="11">
        <v>45900</v>
      </c>
      <c r="P130" s="11">
        <v>45930</v>
      </c>
      <c r="Q130" s="11"/>
      <c r="R130" s="11"/>
      <c r="S130" s="11"/>
      <c r="T130" s="11"/>
      <c r="U130" s="8"/>
      <c r="V130" s="8"/>
      <c r="W130" s="8"/>
      <c r="X130" s="8"/>
      <c r="Y130" s="8"/>
      <c r="Z130" s="8"/>
      <c r="AA130" s="8"/>
      <c r="AB130" s="8"/>
      <c r="AC130" s="11"/>
      <c r="AD130" s="83">
        <f t="shared" si="0"/>
        <v>45930</v>
      </c>
      <c r="AE130" s="85" t="s">
        <v>1255</v>
      </c>
    </row>
    <row r="131" spans="2:31" x14ac:dyDescent="0.3">
      <c r="B131" s="7" t="s">
        <v>1535</v>
      </c>
      <c r="C131" s="8" t="s">
        <v>1536</v>
      </c>
      <c r="D131" s="19" t="s">
        <v>1537</v>
      </c>
      <c r="E131" s="8" t="s">
        <v>1538</v>
      </c>
      <c r="F131" s="8" t="s">
        <v>1539</v>
      </c>
      <c r="G131" s="8"/>
      <c r="H131" s="10" t="s">
        <v>1540</v>
      </c>
      <c r="I131" s="11" t="s">
        <v>1541</v>
      </c>
      <c r="J131" s="11" t="s">
        <v>1542</v>
      </c>
      <c r="K131" s="11" t="s">
        <v>299</v>
      </c>
      <c r="L131" s="11" t="s">
        <v>51</v>
      </c>
      <c r="M131" s="84">
        <v>45017</v>
      </c>
      <c r="N131" s="11">
        <v>45199</v>
      </c>
      <c r="O131" s="11">
        <v>45291</v>
      </c>
      <c r="P131" s="11">
        <v>45473</v>
      </c>
      <c r="Q131" s="11">
        <v>45657</v>
      </c>
      <c r="R131" s="11">
        <v>45292</v>
      </c>
      <c r="S131" s="11">
        <v>45382</v>
      </c>
      <c r="T131" s="11">
        <v>45838</v>
      </c>
      <c r="U131" s="11">
        <v>45930</v>
      </c>
      <c r="V131" s="8"/>
      <c r="W131" s="8"/>
      <c r="X131" s="8"/>
      <c r="Y131" s="8"/>
      <c r="Z131" s="8"/>
      <c r="AA131" s="8"/>
      <c r="AB131" s="8"/>
      <c r="AC131" s="11"/>
      <c r="AD131" s="83">
        <f t="shared" si="0"/>
        <v>45930</v>
      </c>
      <c r="AE131" s="85" t="s">
        <v>1255</v>
      </c>
    </row>
    <row r="132" spans="2:31" x14ac:dyDescent="0.3">
      <c r="B132" s="7" t="s">
        <v>1543</v>
      </c>
      <c r="C132" s="8" t="s">
        <v>1544</v>
      </c>
      <c r="D132" s="19" t="s">
        <v>1545</v>
      </c>
      <c r="E132" s="8" t="s">
        <v>1546</v>
      </c>
      <c r="F132" s="8"/>
      <c r="G132" s="8"/>
      <c r="H132" s="10" t="s">
        <v>1547</v>
      </c>
      <c r="I132" s="11" t="s">
        <v>1548</v>
      </c>
      <c r="J132" s="11" t="s">
        <v>42</v>
      </c>
      <c r="K132" s="11" t="s">
        <v>42</v>
      </c>
      <c r="L132" s="11" t="s">
        <v>51</v>
      </c>
      <c r="M132" s="84">
        <v>44914</v>
      </c>
      <c r="N132" s="11">
        <v>45095</v>
      </c>
      <c r="O132" s="11">
        <v>45199</v>
      </c>
      <c r="P132" s="11">
        <v>45291</v>
      </c>
      <c r="Q132" s="11">
        <v>45412</v>
      </c>
      <c r="R132" s="11">
        <v>45292</v>
      </c>
      <c r="S132" s="11">
        <v>45382</v>
      </c>
      <c r="T132" s="8"/>
      <c r="U132" s="8"/>
      <c r="V132" s="8"/>
      <c r="W132" s="8"/>
      <c r="X132" s="8"/>
      <c r="Y132" s="11"/>
      <c r="Z132" s="8"/>
      <c r="AA132" s="8"/>
      <c r="AB132" s="8"/>
      <c r="AC132" s="11"/>
      <c r="AD132" s="83">
        <f t="shared" si="0"/>
        <v>45412</v>
      </c>
      <c r="AE132" s="26" t="s">
        <v>1255</v>
      </c>
    </row>
    <row r="133" spans="2:31" x14ac:dyDescent="0.3">
      <c r="B133" s="7" t="s">
        <v>1549</v>
      </c>
      <c r="C133" s="8" t="s">
        <v>1550</v>
      </c>
      <c r="D133" s="19" t="s">
        <v>1551</v>
      </c>
      <c r="E133" s="8" t="s">
        <v>69</v>
      </c>
      <c r="F133" s="8" t="s">
        <v>1412</v>
      </c>
      <c r="G133" s="8"/>
      <c r="H133" s="10" t="s">
        <v>1552</v>
      </c>
      <c r="I133" s="11" t="s">
        <v>1434</v>
      </c>
      <c r="J133" s="11" t="s">
        <v>73</v>
      </c>
      <c r="K133" s="11" t="s">
        <v>73</v>
      </c>
      <c r="L133" s="11" t="s">
        <v>43</v>
      </c>
      <c r="M133" s="84">
        <v>45408</v>
      </c>
      <c r="N133" s="11">
        <v>45504</v>
      </c>
      <c r="O133" s="11">
        <v>45596</v>
      </c>
      <c r="P133" s="11">
        <v>45657</v>
      </c>
      <c r="Q133" s="11">
        <v>45716</v>
      </c>
      <c r="R133" s="11"/>
      <c r="S133" s="11"/>
      <c r="T133" s="11">
        <v>45777</v>
      </c>
      <c r="U133" s="8"/>
      <c r="V133" s="8"/>
      <c r="W133" s="8"/>
      <c r="X133" s="8"/>
      <c r="Y133" s="8"/>
      <c r="Z133" s="8"/>
      <c r="AA133" s="8"/>
      <c r="AB133" s="8"/>
      <c r="AC133" s="11"/>
      <c r="AD133" s="83">
        <f t="shared" si="0"/>
        <v>45777</v>
      </c>
      <c r="AE133" s="85" t="s">
        <v>1286</v>
      </c>
    </row>
    <row r="134" spans="2:31" x14ac:dyDescent="0.3">
      <c r="B134" s="7" t="s">
        <v>1553</v>
      </c>
      <c r="C134" s="8" t="s">
        <v>1554</v>
      </c>
      <c r="D134" s="19" t="s">
        <v>1555</v>
      </c>
      <c r="E134" s="8" t="s">
        <v>512</v>
      </c>
      <c r="F134" s="8" t="s">
        <v>197</v>
      </c>
      <c r="G134" s="8"/>
      <c r="H134" s="10" t="s">
        <v>1556</v>
      </c>
      <c r="I134" s="11" t="s">
        <v>1292</v>
      </c>
      <c r="J134" s="11" t="s">
        <v>1293</v>
      </c>
      <c r="K134" s="11" t="s">
        <v>1294</v>
      </c>
      <c r="L134" s="91" t="s">
        <v>43</v>
      </c>
      <c r="M134" s="84">
        <v>45000</v>
      </c>
      <c r="N134" s="11">
        <v>45169</v>
      </c>
      <c r="O134" s="11">
        <v>45260</v>
      </c>
      <c r="P134" s="11">
        <v>45443</v>
      </c>
      <c r="Q134" s="11">
        <v>45535</v>
      </c>
      <c r="R134" s="11">
        <v>45261</v>
      </c>
      <c r="S134" s="11">
        <v>45351</v>
      </c>
      <c r="T134" s="11">
        <v>45626</v>
      </c>
      <c r="U134" s="11">
        <v>45716</v>
      </c>
      <c r="V134" s="8"/>
      <c r="W134" s="8"/>
      <c r="X134" s="8"/>
      <c r="Y134" s="8"/>
      <c r="Z134" s="8"/>
      <c r="AA134" s="8"/>
      <c r="AB134" s="8"/>
      <c r="AC134" s="11"/>
      <c r="AD134" s="83">
        <f t="shared" si="0"/>
        <v>45716</v>
      </c>
      <c r="AE134" s="26" t="s">
        <v>1255</v>
      </c>
    </row>
    <row r="135" spans="2:31" x14ac:dyDescent="0.3">
      <c r="B135" s="7" t="s">
        <v>1557</v>
      </c>
      <c r="C135" s="8" t="s">
        <v>1558</v>
      </c>
      <c r="D135" s="19" t="s">
        <v>1559</v>
      </c>
      <c r="E135" s="8" t="s">
        <v>1560</v>
      </c>
      <c r="F135" s="8" t="s">
        <v>1445</v>
      </c>
      <c r="G135" s="8"/>
      <c r="H135" s="10" t="s">
        <v>1561</v>
      </c>
      <c r="I135" s="11" t="s">
        <v>1235</v>
      </c>
      <c r="J135" s="11" t="s">
        <v>73</v>
      </c>
      <c r="K135" s="11" t="s">
        <v>73</v>
      </c>
      <c r="L135" s="11" t="s">
        <v>51</v>
      </c>
      <c r="M135" s="84">
        <v>45437</v>
      </c>
      <c r="N135" s="11">
        <v>45535</v>
      </c>
      <c r="O135" s="11">
        <v>45626</v>
      </c>
      <c r="P135" s="11"/>
      <c r="Q135" s="8"/>
      <c r="R135" s="11"/>
      <c r="S135" s="11"/>
      <c r="T135" s="8"/>
      <c r="U135" s="8"/>
      <c r="V135" s="8"/>
      <c r="W135" s="8"/>
      <c r="X135" s="8"/>
      <c r="Y135" s="8"/>
      <c r="Z135" s="8"/>
      <c r="AA135" s="8"/>
      <c r="AB135" s="8"/>
      <c r="AC135" s="11"/>
      <c r="AD135" s="83">
        <f t="shared" si="0"/>
        <v>45626</v>
      </c>
      <c r="AE135" s="26" t="s">
        <v>1255</v>
      </c>
    </row>
    <row r="136" spans="2:31" x14ac:dyDescent="0.3">
      <c r="B136" s="7" t="s">
        <v>1562</v>
      </c>
      <c r="C136" s="8" t="s">
        <v>1563</v>
      </c>
      <c r="D136" s="19" t="s">
        <v>1564</v>
      </c>
      <c r="E136" s="8" t="s">
        <v>1565</v>
      </c>
      <c r="F136" s="8" t="s">
        <v>1383</v>
      </c>
      <c r="G136" s="8"/>
      <c r="H136" s="10" t="s">
        <v>1566</v>
      </c>
      <c r="I136" s="11" t="s">
        <v>1567</v>
      </c>
      <c r="J136" s="11" t="s">
        <v>73</v>
      </c>
      <c r="K136" s="11" t="s">
        <v>73</v>
      </c>
      <c r="L136" s="11" t="s">
        <v>51</v>
      </c>
      <c r="M136" s="84">
        <v>44963</v>
      </c>
      <c r="N136" s="11">
        <v>45138</v>
      </c>
      <c r="O136" s="11">
        <v>45291</v>
      </c>
      <c r="P136" s="11">
        <v>45473</v>
      </c>
      <c r="Q136" s="11">
        <v>45565</v>
      </c>
      <c r="R136" s="11">
        <v>45292</v>
      </c>
      <c r="S136" s="11">
        <v>45382</v>
      </c>
      <c r="T136" s="11">
        <v>45657</v>
      </c>
      <c r="U136" s="11">
        <v>45716</v>
      </c>
      <c r="V136" s="8"/>
      <c r="W136" s="8"/>
      <c r="X136" s="8"/>
      <c r="Y136" s="8"/>
      <c r="Z136" s="8"/>
      <c r="AA136" s="8"/>
      <c r="AB136" s="8"/>
      <c r="AC136" s="11"/>
      <c r="AD136" s="83">
        <f t="shared" si="0"/>
        <v>45716</v>
      </c>
      <c r="AE136" s="26" t="s">
        <v>1255</v>
      </c>
    </row>
    <row r="137" spans="2:31" x14ac:dyDescent="0.3">
      <c r="B137" s="7" t="s">
        <v>1568</v>
      </c>
      <c r="C137" s="8" t="s">
        <v>1569</v>
      </c>
      <c r="D137" s="19" t="s">
        <v>1570</v>
      </c>
      <c r="E137" s="8" t="s">
        <v>1571</v>
      </c>
      <c r="F137" s="8" t="s">
        <v>1265</v>
      </c>
      <c r="G137" s="8"/>
      <c r="H137" s="10" t="s">
        <v>1572</v>
      </c>
      <c r="I137" s="11" t="s">
        <v>1243</v>
      </c>
      <c r="J137" s="11" t="s">
        <v>42</v>
      </c>
      <c r="K137" s="11" t="s">
        <v>42</v>
      </c>
      <c r="L137" s="91" t="s">
        <v>51</v>
      </c>
      <c r="M137" s="84">
        <v>45257</v>
      </c>
      <c r="N137" s="11">
        <v>45351</v>
      </c>
      <c r="O137" s="11">
        <v>45443</v>
      </c>
      <c r="P137" s="11">
        <v>45535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11"/>
      <c r="AD137" s="83">
        <f t="shared" si="0"/>
        <v>45535</v>
      </c>
      <c r="AE137" s="26" t="s">
        <v>1255</v>
      </c>
    </row>
    <row r="138" spans="2:31" x14ac:dyDescent="0.3">
      <c r="B138" s="7" t="s">
        <v>1573</v>
      </c>
      <c r="C138" s="8" t="s">
        <v>1574</v>
      </c>
      <c r="D138" s="19" t="s">
        <v>1575</v>
      </c>
      <c r="E138" s="8" t="s">
        <v>1576</v>
      </c>
      <c r="F138" s="8" t="s">
        <v>1328</v>
      </c>
      <c r="G138" s="8"/>
      <c r="H138" s="10" t="s">
        <v>1577</v>
      </c>
      <c r="I138" s="11" t="s">
        <v>73</v>
      </c>
      <c r="J138" s="11" t="s">
        <v>73</v>
      </c>
      <c r="K138" s="11" t="s">
        <v>73</v>
      </c>
      <c r="L138" s="11" t="s">
        <v>51</v>
      </c>
      <c r="M138" s="84">
        <v>44585</v>
      </c>
      <c r="N138" s="11">
        <v>44681</v>
      </c>
      <c r="O138" s="11">
        <v>44865</v>
      </c>
      <c r="P138" s="11">
        <v>44926</v>
      </c>
      <c r="Q138" s="11">
        <v>44957</v>
      </c>
      <c r="R138" s="11">
        <v>45292</v>
      </c>
      <c r="S138" s="11">
        <v>45382</v>
      </c>
      <c r="T138" s="11">
        <v>45107</v>
      </c>
      <c r="U138" s="11">
        <v>45291</v>
      </c>
      <c r="V138" s="11">
        <v>45473</v>
      </c>
      <c r="W138" s="11"/>
      <c r="X138" s="8"/>
      <c r="Y138" s="8"/>
      <c r="Z138" s="8"/>
      <c r="AA138" s="8"/>
      <c r="AB138" s="8"/>
      <c r="AC138" s="11"/>
      <c r="AD138" s="83">
        <f t="shared" si="0"/>
        <v>45473</v>
      </c>
      <c r="AE138" s="26" t="s">
        <v>1255</v>
      </c>
    </row>
    <row r="139" spans="2:31" x14ac:dyDescent="0.3">
      <c r="B139" s="7" t="s">
        <v>1578</v>
      </c>
      <c r="C139" s="8" t="s">
        <v>1579</v>
      </c>
      <c r="D139" s="19" t="s">
        <v>1580</v>
      </c>
      <c r="E139" s="8" t="s">
        <v>1581</v>
      </c>
      <c r="F139" s="8" t="s">
        <v>1181</v>
      </c>
      <c r="G139" s="8"/>
      <c r="H139" s="10" t="s">
        <v>1582</v>
      </c>
      <c r="I139" s="11" t="s">
        <v>117</v>
      </c>
      <c r="J139" s="11" t="s">
        <v>73</v>
      </c>
      <c r="K139" s="11" t="s">
        <v>73</v>
      </c>
      <c r="L139" s="11" t="s">
        <v>51</v>
      </c>
      <c r="M139" s="84">
        <v>44923</v>
      </c>
      <c r="N139" s="11">
        <v>45105</v>
      </c>
      <c r="O139" s="11">
        <v>45199</v>
      </c>
      <c r="P139" s="11">
        <v>45291</v>
      </c>
      <c r="Q139" s="11">
        <v>45322</v>
      </c>
      <c r="R139" s="11">
        <v>45323</v>
      </c>
      <c r="S139" s="11">
        <v>45351</v>
      </c>
      <c r="T139" s="11">
        <v>45443</v>
      </c>
      <c r="U139" s="8"/>
      <c r="V139" s="8"/>
      <c r="W139" s="8"/>
      <c r="X139" s="8"/>
      <c r="Y139" s="11"/>
      <c r="Z139" s="8"/>
      <c r="AA139" s="8"/>
      <c r="AB139" s="8"/>
      <c r="AC139" s="11"/>
      <c r="AD139" s="83">
        <f t="shared" si="0"/>
        <v>45443</v>
      </c>
      <c r="AE139" s="26" t="s">
        <v>1255</v>
      </c>
    </row>
    <row r="140" spans="2:31" x14ac:dyDescent="0.3">
      <c r="B140" s="7" t="s">
        <v>1583</v>
      </c>
      <c r="C140" s="8" t="s">
        <v>1584</v>
      </c>
      <c r="D140" s="19" t="s">
        <v>1585</v>
      </c>
      <c r="E140" s="8" t="s">
        <v>1586</v>
      </c>
      <c r="F140" s="8" t="s">
        <v>1328</v>
      </c>
      <c r="G140" s="8"/>
      <c r="H140" s="10" t="s">
        <v>1587</v>
      </c>
      <c r="I140" s="11" t="s">
        <v>1588</v>
      </c>
      <c r="J140" s="11" t="s">
        <v>1589</v>
      </c>
      <c r="K140" s="11" t="s">
        <v>1590</v>
      </c>
      <c r="L140" s="11" t="s">
        <v>51</v>
      </c>
      <c r="M140" s="84">
        <v>45373</v>
      </c>
      <c r="N140" s="11">
        <v>45473</v>
      </c>
      <c r="O140" s="11">
        <v>45657</v>
      </c>
      <c r="P140" s="11">
        <v>45747</v>
      </c>
      <c r="Q140" s="11"/>
      <c r="R140" s="11"/>
      <c r="S140" s="11"/>
      <c r="T140" s="8"/>
      <c r="U140" s="8"/>
      <c r="V140" s="8"/>
      <c r="W140" s="8"/>
      <c r="X140" s="8"/>
      <c r="Y140" s="8"/>
      <c r="Z140" s="8"/>
      <c r="AA140" s="8"/>
      <c r="AB140" s="8"/>
      <c r="AC140" s="11"/>
      <c r="AD140" s="83">
        <f t="shared" si="0"/>
        <v>45747</v>
      </c>
      <c r="AE140" s="85" t="s">
        <v>1286</v>
      </c>
    </row>
    <row r="141" spans="2:31" x14ac:dyDescent="0.3">
      <c r="B141" s="7" t="s">
        <v>1591</v>
      </c>
      <c r="C141" s="8" t="s">
        <v>1592</v>
      </c>
      <c r="D141" s="19" t="s">
        <v>1593</v>
      </c>
      <c r="E141" s="8" t="s">
        <v>357</v>
      </c>
      <c r="F141" s="8" t="s">
        <v>197</v>
      </c>
      <c r="G141" s="8" t="s">
        <v>885</v>
      </c>
      <c r="H141" s="10" t="s">
        <v>1594</v>
      </c>
      <c r="I141" s="11" t="s">
        <v>1214</v>
      </c>
      <c r="J141" s="11" t="s">
        <v>1214</v>
      </c>
      <c r="K141" s="11" t="s">
        <v>42</v>
      </c>
      <c r="L141" s="11" t="s">
        <v>43</v>
      </c>
      <c r="M141" s="84">
        <v>45685</v>
      </c>
      <c r="N141" s="11">
        <v>45777</v>
      </c>
      <c r="O141" s="11"/>
      <c r="P141" s="11"/>
      <c r="Q141" s="11"/>
      <c r="R141" s="11"/>
      <c r="S141" s="11"/>
      <c r="T141" s="8"/>
      <c r="U141" s="8"/>
      <c r="V141" s="8"/>
      <c r="W141" s="8"/>
      <c r="X141" s="8"/>
      <c r="Y141" s="8"/>
      <c r="Z141" s="8"/>
      <c r="AA141" s="8"/>
      <c r="AB141" s="8"/>
      <c r="AC141" s="11"/>
      <c r="AD141" s="83">
        <f t="shared" si="0"/>
        <v>45777</v>
      </c>
      <c r="AE141" s="85" t="s">
        <v>1286</v>
      </c>
    </row>
    <row r="142" spans="2:31" x14ac:dyDescent="0.3">
      <c r="O142" s="101"/>
      <c r="P142" s="89"/>
      <c r="Q142" s="89"/>
      <c r="R142" s="89"/>
      <c r="S142" s="89"/>
      <c r="T142" s="89"/>
      <c r="U142" s="88"/>
      <c r="V142" s="88"/>
      <c r="W142" s="88"/>
      <c r="X142" s="88"/>
      <c r="Y142" s="88"/>
      <c r="Z142" s="88"/>
      <c r="AA142" s="88"/>
      <c r="AB142" s="88"/>
      <c r="AC142" s="89"/>
      <c r="AD142" s="83">
        <f>+MAX(O142:AC142)</f>
        <v>0</v>
      </c>
      <c r="AE142" s="85" t="s">
        <v>1280</v>
      </c>
    </row>
    <row r="143" spans="2:31" x14ac:dyDescent="0.3">
      <c r="B143" s="7" t="s">
        <v>1595</v>
      </c>
      <c r="C143" s="8" t="s">
        <v>1232</v>
      </c>
      <c r="D143" s="19" t="s">
        <v>1596</v>
      </c>
      <c r="E143" s="8" t="s">
        <v>61</v>
      </c>
      <c r="F143" s="8" t="s">
        <v>1432</v>
      </c>
      <c r="G143" s="8"/>
      <c r="H143" s="10" t="s">
        <v>1597</v>
      </c>
      <c r="I143" s="11" t="s">
        <v>1598</v>
      </c>
      <c r="J143" s="11" t="s">
        <v>1599</v>
      </c>
      <c r="K143" s="11" t="s">
        <v>1599</v>
      </c>
      <c r="L143" s="11" t="s">
        <v>43</v>
      </c>
      <c r="M143" s="84">
        <v>45481</v>
      </c>
      <c r="N143" s="102">
        <v>45565</v>
      </c>
      <c r="O143" s="103">
        <v>45596</v>
      </c>
      <c r="P143" s="11">
        <v>45688</v>
      </c>
      <c r="Q143" s="11">
        <v>45716</v>
      </c>
      <c r="R143" s="11"/>
      <c r="S143" s="11"/>
      <c r="T143" s="104">
        <v>45808</v>
      </c>
      <c r="U143" s="11">
        <v>45900</v>
      </c>
      <c r="V143" s="8"/>
      <c r="W143" s="8"/>
      <c r="X143" s="8"/>
      <c r="Y143" s="8"/>
      <c r="Z143" s="8"/>
      <c r="AA143" s="8"/>
      <c r="AB143" s="8"/>
      <c r="AC143" s="11"/>
      <c r="AD143" s="83">
        <f t="shared" ref="AD143:AD206" si="1">+MAX(M143:AC143)</f>
        <v>45900</v>
      </c>
      <c r="AE143" s="85" t="s">
        <v>1255</v>
      </c>
    </row>
    <row r="144" spans="2:31" x14ac:dyDescent="0.3">
      <c r="B144" s="87" t="s">
        <v>1600</v>
      </c>
      <c r="C144" s="8" t="s">
        <v>1601</v>
      </c>
      <c r="D144" s="9" t="s">
        <v>1602</v>
      </c>
      <c r="E144" s="88" t="s">
        <v>1277</v>
      </c>
      <c r="F144" s="88" t="s">
        <v>1278</v>
      </c>
      <c r="G144" s="88"/>
      <c r="H144" s="145" t="s">
        <v>1603</v>
      </c>
      <c r="I144" s="89" t="s">
        <v>1309</v>
      </c>
      <c r="J144" s="89" t="s">
        <v>42</v>
      </c>
      <c r="K144" s="89" t="s">
        <v>42</v>
      </c>
      <c r="L144" s="89" t="s">
        <v>43</v>
      </c>
      <c r="M144" s="90">
        <v>45947</v>
      </c>
      <c r="N144" s="105">
        <v>46022</v>
      </c>
      <c r="O144" s="101"/>
      <c r="P144" s="89"/>
      <c r="Q144" s="89"/>
      <c r="R144" s="89"/>
      <c r="S144" s="89"/>
      <c r="T144" s="106"/>
      <c r="U144" s="88"/>
      <c r="V144" s="88"/>
      <c r="W144" s="88"/>
      <c r="X144" s="88"/>
      <c r="Y144" s="88"/>
      <c r="Z144" s="88"/>
      <c r="AA144" s="88"/>
      <c r="AB144" s="88"/>
      <c r="AC144" s="89"/>
      <c r="AD144" s="83">
        <f t="shared" si="1"/>
        <v>46022</v>
      </c>
      <c r="AE144" s="85" t="s">
        <v>1280</v>
      </c>
    </row>
    <row r="145" spans="2:31" x14ac:dyDescent="0.3">
      <c r="B145" s="7" t="s">
        <v>1604</v>
      </c>
      <c r="C145" s="8" t="s">
        <v>1605</v>
      </c>
      <c r="D145" s="19" t="s">
        <v>1606</v>
      </c>
      <c r="E145" s="8" t="s">
        <v>594</v>
      </c>
      <c r="F145" s="8" t="s">
        <v>1401</v>
      </c>
      <c r="G145" s="8"/>
      <c r="H145" s="10" t="s">
        <v>1607</v>
      </c>
      <c r="I145" s="11" t="s">
        <v>42</v>
      </c>
      <c r="J145" s="11" t="s">
        <v>42</v>
      </c>
      <c r="K145" s="11" t="s">
        <v>42</v>
      </c>
      <c r="L145" s="91" t="s">
        <v>43</v>
      </c>
      <c r="M145" s="84">
        <v>44958</v>
      </c>
      <c r="N145" s="102">
        <v>45138</v>
      </c>
      <c r="O145" s="86">
        <v>45230</v>
      </c>
      <c r="P145" s="11">
        <v>45260</v>
      </c>
      <c r="Q145" s="11">
        <v>45443</v>
      </c>
      <c r="R145" s="11">
        <v>45261</v>
      </c>
      <c r="S145" s="11">
        <v>45351</v>
      </c>
      <c r="T145" s="11">
        <v>45535</v>
      </c>
      <c r="U145" s="11">
        <v>45626</v>
      </c>
      <c r="V145" s="8"/>
      <c r="W145" s="8"/>
      <c r="X145" s="8"/>
      <c r="Y145" s="8"/>
      <c r="Z145" s="8"/>
      <c r="AA145" s="8"/>
      <c r="AB145" s="8"/>
      <c r="AC145" s="11"/>
      <c r="AD145" s="83">
        <f t="shared" si="1"/>
        <v>45626</v>
      </c>
      <c r="AE145" s="26" t="s">
        <v>1255</v>
      </c>
    </row>
    <row r="146" spans="2:31" x14ac:dyDescent="0.3">
      <c r="B146" s="7" t="s">
        <v>1608</v>
      </c>
      <c r="C146" s="8" t="s">
        <v>1609</v>
      </c>
      <c r="D146" s="19" t="s">
        <v>1610</v>
      </c>
      <c r="E146" s="8" t="s">
        <v>61</v>
      </c>
      <c r="F146" s="8" t="s">
        <v>1181</v>
      </c>
      <c r="G146" s="8"/>
      <c r="H146" s="10" t="s">
        <v>1611</v>
      </c>
      <c r="I146" s="11" t="s">
        <v>42</v>
      </c>
      <c r="J146" s="11" t="s">
        <v>42</v>
      </c>
      <c r="K146" s="11" t="s">
        <v>42</v>
      </c>
      <c r="L146" s="11" t="s">
        <v>43</v>
      </c>
      <c r="M146" s="84">
        <v>45406</v>
      </c>
      <c r="N146" s="11">
        <v>45504</v>
      </c>
      <c r="O146" s="11">
        <v>45596</v>
      </c>
      <c r="P146" s="11">
        <v>45626</v>
      </c>
      <c r="Q146" s="11">
        <v>45657</v>
      </c>
      <c r="R146" s="11"/>
      <c r="S146" s="11"/>
      <c r="T146" s="11">
        <v>45688</v>
      </c>
      <c r="U146" s="11">
        <v>45747</v>
      </c>
      <c r="V146" s="11">
        <v>45808</v>
      </c>
      <c r="W146" s="11">
        <v>45900</v>
      </c>
      <c r="X146" s="8"/>
      <c r="Y146" s="8"/>
      <c r="Z146" s="8"/>
      <c r="AA146" s="8"/>
      <c r="AB146" s="8"/>
      <c r="AC146" s="11"/>
      <c r="AD146" s="83">
        <f t="shared" si="1"/>
        <v>45900</v>
      </c>
      <c r="AE146" s="85" t="s">
        <v>1255</v>
      </c>
    </row>
    <row r="147" spans="2:31" x14ac:dyDescent="0.3">
      <c r="B147" s="7" t="s">
        <v>1612</v>
      </c>
      <c r="C147" s="8" t="s">
        <v>1613</v>
      </c>
      <c r="D147" s="19" t="s">
        <v>1614</v>
      </c>
      <c r="E147" s="8" t="s">
        <v>196</v>
      </c>
      <c r="F147" s="8" t="s">
        <v>197</v>
      </c>
      <c r="G147" s="8"/>
      <c r="H147" s="10" t="s">
        <v>1615</v>
      </c>
      <c r="I147" s="11" t="s">
        <v>1616</v>
      </c>
      <c r="J147" s="11" t="s">
        <v>1465</v>
      </c>
      <c r="K147" s="11" t="s">
        <v>42</v>
      </c>
      <c r="L147" s="11" t="s">
        <v>51</v>
      </c>
      <c r="M147" s="84">
        <v>45627</v>
      </c>
      <c r="N147" s="11">
        <v>45716</v>
      </c>
      <c r="O147" s="11">
        <v>45808</v>
      </c>
      <c r="P147" s="11"/>
      <c r="Q147" s="11"/>
      <c r="R147" s="11"/>
      <c r="S147" s="11"/>
      <c r="T147" s="8"/>
      <c r="U147" s="8"/>
      <c r="V147" s="8"/>
      <c r="W147" s="8"/>
      <c r="X147" s="8"/>
      <c r="Y147" s="8"/>
      <c r="Z147" s="8"/>
      <c r="AA147" s="8"/>
      <c r="AB147" s="8"/>
      <c r="AC147" s="11"/>
      <c r="AD147" s="83">
        <f t="shared" si="1"/>
        <v>45808</v>
      </c>
      <c r="AE147" s="85" t="s">
        <v>1255</v>
      </c>
    </row>
    <row r="148" spans="2:31" x14ac:dyDescent="0.3">
      <c r="B148" s="7" t="s">
        <v>1617</v>
      </c>
      <c r="C148" s="8" t="s">
        <v>1618</v>
      </c>
      <c r="D148" s="19" t="s">
        <v>1619</v>
      </c>
      <c r="E148" s="8" t="s">
        <v>1620</v>
      </c>
      <c r="F148" s="8" t="s">
        <v>1345</v>
      </c>
      <c r="G148" s="8"/>
      <c r="H148" s="10" t="s">
        <v>1621</v>
      </c>
      <c r="I148" s="11" t="s">
        <v>42</v>
      </c>
      <c r="J148" s="11" t="s">
        <v>42</v>
      </c>
      <c r="K148" s="11" t="s">
        <v>42</v>
      </c>
      <c r="L148" s="11" t="s">
        <v>51</v>
      </c>
      <c r="M148" s="84">
        <v>45090</v>
      </c>
      <c r="N148" s="11">
        <v>45199</v>
      </c>
      <c r="O148" s="11">
        <v>45291</v>
      </c>
      <c r="P148" s="11">
        <v>45473</v>
      </c>
      <c r="Q148" s="8"/>
      <c r="R148" s="11">
        <v>45292</v>
      </c>
      <c r="S148" s="11">
        <v>45382</v>
      </c>
      <c r="T148" s="8"/>
      <c r="U148" s="8"/>
      <c r="V148" s="8"/>
      <c r="W148" s="8"/>
      <c r="X148" s="8"/>
      <c r="Y148" s="8"/>
      <c r="Z148" s="8"/>
      <c r="AA148" s="8"/>
      <c r="AB148" s="8"/>
      <c r="AC148" s="11"/>
      <c r="AD148" s="83">
        <f t="shared" si="1"/>
        <v>45473</v>
      </c>
      <c r="AE148" s="26" t="s">
        <v>1255</v>
      </c>
    </row>
    <row r="149" spans="2:31" x14ac:dyDescent="0.3">
      <c r="B149" s="7" t="s">
        <v>1622</v>
      </c>
      <c r="C149" s="8" t="s">
        <v>1623</v>
      </c>
      <c r="D149" s="19" t="s">
        <v>1624</v>
      </c>
      <c r="E149" s="8" t="s">
        <v>1625</v>
      </c>
      <c r="F149" s="8" t="s">
        <v>1626</v>
      </c>
      <c r="G149" s="8"/>
      <c r="H149" s="10" t="s">
        <v>1627</v>
      </c>
      <c r="I149" s="11" t="s">
        <v>1214</v>
      </c>
      <c r="J149" s="11" t="s">
        <v>1214</v>
      </c>
      <c r="K149" s="11" t="s">
        <v>42</v>
      </c>
      <c r="L149" s="91" t="s">
        <v>43</v>
      </c>
      <c r="M149" s="84">
        <v>44975</v>
      </c>
      <c r="N149" s="11">
        <v>45138</v>
      </c>
      <c r="O149" s="11">
        <v>45230</v>
      </c>
      <c r="P149" s="11">
        <v>45260</v>
      </c>
      <c r="Q149" s="11">
        <v>45443</v>
      </c>
      <c r="R149" s="11">
        <v>45261</v>
      </c>
      <c r="S149" s="11">
        <v>45351</v>
      </c>
      <c r="T149" s="11">
        <v>45473</v>
      </c>
      <c r="U149" s="8"/>
      <c r="V149" s="8"/>
      <c r="W149" s="8"/>
      <c r="X149" s="8"/>
      <c r="Y149" s="8"/>
      <c r="Z149" s="8"/>
      <c r="AA149" s="8"/>
      <c r="AB149" s="8"/>
      <c r="AC149" s="11"/>
      <c r="AD149" s="83">
        <f t="shared" si="1"/>
        <v>45473</v>
      </c>
      <c r="AE149" s="26" t="s">
        <v>1255</v>
      </c>
    </row>
    <row r="150" spans="2:31" x14ac:dyDescent="0.3">
      <c r="B150" s="107" t="s">
        <v>1628</v>
      </c>
      <c r="C150" s="8" t="s">
        <v>1629</v>
      </c>
      <c r="D150" s="19" t="s">
        <v>1630</v>
      </c>
      <c r="E150" s="108" t="s">
        <v>61</v>
      </c>
      <c r="F150" s="108" t="s">
        <v>1181</v>
      </c>
      <c r="G150" s="108"/>
      <c r="H150" s="149" t="s">
        <v>1631</v>
      </c>
      <c r="I150" s="94" t="s">
        <v>348</v>
      </c>
      <c r="J150" s="94" t="s">
        <v>73</v>
      </c>
      <c r="K150" s="94" t="s">
        <v>1236</v>
      </c>
      <c r="L150" s="94" t="s">
        <v>43</v>
      </c>
      <c r="M150" s="109">
        <v>45727</v>
      </c>
      <c r="N150" s="94">
        <v>45808</v>
      </c>
      <c r="O150" s="94"/>
      <c r="P150" s="94"/>
      <c r="Q150" s="94"/>
      <c r="R150" s="94"/>
      <c r="S150" s="94"/>
      <c r="T150" s="94"/>
      <c r="U150" s="108"/>
      <c r="V150" s="108"/>
      <c r="W150" s="108"/>
      <c r="X150" s="108"/>
      <c r="Y150" s="108"/>
      <c r="Z150" s="108"/>
      <c r="AA150" s="108"/>
      <c r="AB150" s="108"/>
      <c r="AC150" s="94"/>
      <c r="AD150" s="83">
        <f t="shared" si="1"/>
        <v>45808</v>
      </c>
      <c r="AE150" s="85" t="s">
        <v>1255</v>
      </c>
    </row>
    <row r="151" spans="2:31" x14ac:dyDescent="0.3">
      <c r="B151" s="7" t="s">
        <v>1632</v>
      </c>
      <c r="C151" s="8" t="s">
        <v>1633</v>
      </c>
      <c r="D151" s="19" t="s">
        <v>1634</v>
      </c>
      <c r="E151" s="8" t="s">
        <v>1635</v>
      </c>
      <c r="F151" s="8" t="s">
        <v>179</v>
      </c>
      <c r="G151" s="8"/>
      <c r="H151" s="10" t="s">
        <v>1636</v>
      </c>
      <c r="I151" s="11" t="s">
        <v>1243</v>
      </c>
      <c r="J151" s="11" t="s">
        <v>42</v>
      </c>
      <c r="K151" s="11" t="s">
        <v>42</v>
      </c>
      <c r="L151" s="11" t="s">
        <v>43</v>
      </c>
      <c r="M151" s="84">
        <v>45630</v>
      </c>
      <c r="N151" s="11">
        <v>45716</v>
      </c>
      <c r="O151" s="11">
        <v>45777</v>
      </c>
      <c r="P151" s="11"/>
      <c r="Q151" s="11"/>
      <c r="R151" s="11"/>
      <c r="S151" s="11"/>
      <c r="T151" s="11"/>
      <c r="U151" s="8"/>
      <c r="V151" s="8"/>
      <c r="W151" s="8"/>
      <c r="X151" s="8"/>
      <c r="Y151" s="8"/>
      <c r="Z151" s="8"/>
      <c r="AA151" s="8"/>
      <c r="AB151" s="8"/>
      <c r="AC151" s="11"/>
      <c r="AD151" s="83">
        <f t="shared" si="1"/>
        <v>45777</v>
      </c>
      <c r="AE151" s="85" t="s">
        <v>1286</v>
      </c>
    </row>
    <row r="152" spans="2:31" x14ac:dyDescent="0.3">
      <c r="B152" s="7" t="s">
        <v>1051</v>
      </c>
      <c r="C152" s="8" t="s">
        <v>1052</v>
      </c>
      <c r="D152" s="19" t="s">
        <v>1637</v>
      </c>
      <c r="E152" s="8" t="s">
        <v>1053</v>
      </c>
      <c r="F152" s="8" t="s">
        <v>1401</v>
      </c>
      <c r="G152" s="8"/>
      <c r="H152" s="10" t="s">
        <v>1638</v>
      </c>
      <c r="I152" s="11" t="s">
        <v>1254</v>
      </c>
      <c r="J152" s="11" t="s">
        <v>73</v>
      </c>
      <c r="K152" s="11" t="s">
        <v>73</v>
      </c>
      <c r="L152" s="11" t="s">
        <v>51</v>
      </c>
      <c r="M152" s="84">
        <v>44927</v>
      </c>
      <c r="N152" s="11">
        <v>45107</v>
      </c>
      <c r="O152" s="11">
        <v>45291</v>
      </c>
      <c r="P152" s="11">
        <v>45473</v>
      </c>
      <c r="Q152" s="11">
        <v>45565</v>
      </c>
      <c r="R152" s="11">
        <v>45292</v>
      </c>
      <c r="S152" s="11">
        <v>45382</v>
      </c>
      <c r="T152" s="11">
        <v>45657</v>
      </c>
      <c r="U152" s="8"/>
      <c r="V152" s="8"/>
      <c r="W152" s="8"/>
      <c r="X152" s="8"/>
      <c r="Y152" s="8"/>
      <c r="Z152" s="8"/>
      <c r="AA152" s="8"/>
      <c r="AB152" s="8"/>
      <c r="AC152" s="11"/>
      <c r="AD152" s="83">
        <f t="shared" si="1"/>
        <v>45657</v>
      </c>
      <c r="AE152" s="85" t="s">
        <v>1286</v>
      </c>
    </row>
    <row r="153" spans="2:31" x14ac:dyDescent="0.3">
      <c r="B153" s="7" t="s">
        <v>1639</v>
      </c>
      <c r="C153" s="8" t="s">
        <v>1640</v>
      </c>
      <c r="D153" s="19" t="s">
        <v>1641</v>
      </c>
      <c r="E153" s="8" t="s">
        <v>61</v>
      </c>
      <c r="F153" s="8" t="s">
        <v>1181</v>
      </c>
      <c r="G153" s="8"/>
      <c r="H153" s="10" t="s">
        <v>1642</v>
      </c>
      <c r="I153" s="11" t="s">
        <v>1643</v>
      </c>
      <c r="J153" s="11" t="s">
        <v>73</v>
      </c>
      <c r="K153" s="11" t="s">
        <v>73</v>
      </c>
      <c r="L153" s="11" t="s">
        <v>51</v>
      </c>
      <c r="M153" s="84">
        <v>45048</v>
      </c>
      <c r="N153" s="11">
        <v>45138</v>
      </c>
      <c r="O153" s="11">
        <v>45230</v>
      </c>
      <c r="P153" s="11">
        <v>45260</v>
      </c>
      <c r="Q153" s="11">
        <v>45382</v>
      </c>
      <c r="R153" s="11">
        <v>45261</v>
      </c>
      <c r="S153" s="11">
        <v>45351</v>
      </c>
      <c r="T153" s="11">
        <v>45412</v>
      </c>
      <c r="U153" s="11">
        <v>45504</v>
      </c>
      <c r="V153" s="8"/>
      <c r="W153" s="8"/>
      <c r="X153" s="8"/>
      <c r="Y153" s="8"/>
      <c r="Z153" s="8"/>
      <c r="AA153" s="8"/>
      <c r="AB153" s="8"/>
      <c r="AC153" s="11"/>
      <c r="AD153" s="83">
        <f t="shared" si="1"/>
        <v>45504</v>
      </c>
      <c r="AE153" s="26" t="s">
        <v>1255</v>
      </c>
    </row>
    <row r="154" spans="2:31" x14ac:dyDescent="0.3">
      <c r="B154" s="7" t="s">
        <v>1644</v>
      </c>
      <c r="C154" s="8" t="s">
        <v>1645</v>
      </c>
      <c r="D154" s="19" t="s">
        <v>1646</v>
      </c>
      <c r="E154" s="8" t="s">
        <v>1647</v>
      </c>
      <c r="F154" s="8" t="s">
        <v>1401</v>
      </c>
      <c r="G154" s="8"/>
      <c r="H154" s="10" t="s">
        <v>1648</v>
      </c>
      <c r="I154" s="11" t="s">
        <v>1219</v>
      </c>
      <c r="J154" s="11" t="s">
        <v>42</v>
      </c>
      <c r="K154" s="11" t="s">
        <v>42</v>
      </c>
      <c r="L154" s="11" t="s">
        <v>51</v>
      </c>
      <c r="M154" s="84">
        <v>45293</v>
      </c>
      <c r="N154" s="11">
        <v>45382</v>
      </c>
      <c r="O154" s="11">
        <v>45473</v>
      </c>
      <c r="P154" s="11">
        <v>45565</v>
      </c>
      <c r="Q154" s="11">
        <v>45657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11"/>
      <c r="AD154" s="83">
        <f t="shared" si="1"/>
        <v>45657</v>
      </c>
      <c r="AE154" s="85" t="s">
        <v>1286</v>
      </c>
    </row>
    <row r="155" spans="2:31" x14ac:dyDescent="0.3">
      <c r="B155" s="7" t="s">
        <v>1649</v>
      </c>
      <c r="C155" s="8" t="s">
        <v>1650</v>
      </c>
      <c r="D155" s="19" t="s">
        <v>1651</v>
      </c>
      <c r="E155" s="8" t="s">
        <v>1652</v>
      </c>
      <c r="F155" s="8" t="s">
        <v>1626</v>
      </c>
      <c r="G155" s="8"/>
      <c r="H155" s="10" t="s">
        <v>1653</v>
      </c>
      <c r="I155" s="11" t="s">
        <v>1243</v>
      </c>
      <c r="J155" s="11" t="s">
        <v>42</v>
      </c>
      <c r="K155" s="11" t="s">
        <v>42</v>
      </c>
      <c r="L155" s="11" t="s">
        <v>43</v>
      </c>
      <c r="M155" s="84">
        <v>45413</v>
      </c>
      <c r="N155" s="11">
        <v>45504</v>
      </c>
      <c r="O155" s="11">
        <v>45596</v>
      </c>
      <c r="P155" s="11">
        <v>45688</v>
      </c>
      <c r="Q155" s="8"/>
      <c r="R155" s="11"/>
      <c r="S155" s="11"/>
      <c r="T155" s="8"/>
      <c r="U155" s="8"/>
      <c r="V155" s="8"/>
      <c r="W155" s="8"/>
      <c r="X155" s="8"/>
      <c r="Y155" s="8"/>
      <c r="Z155" s="8"/>
      <c r="AA155" s="8"/>
      <c r="AB155" s="8"/>
      <c r="AC155" s="11"/>
      <c r="AD155" s="83">
        <f t="shared" si="1"/>
        <v>45688</v>
      </c>
      <c r="AE155" s="85" t="s">
        <v>1286</v>
      </c>
    </row>
    <row r="156" spans="2:31" x14ac:dyDescent="0.3">
      <c r="B156" s="7" t="s">
        <v>1654</v>
      </c>
      <c r="C156" s="8" t="s">
        <v>1655</v>
      </c>
      <c r="D156" s="19" t="s">
        <v>1656</v>
      </c>
      <c r="E156" s="8" t="s">
        <v>1657</v>
      </c>
      <c r="F156" s="8" t="s">
        <v>179</v>
      </c>
      <c r="G156" s="8"/>
      <c r="H156" s="10" t="s">
        <v>1658</v>
      </c>
      <c r="I156" s="11" t="s">
        <v>1659</v>
      </c>
      <c r="J156" s="11" t="s">
        <v>1660</v>
      </c>
      <c r="K156" s="11" t="s">
        <v>1661</v>
      </c>
      <c r="L156" s="11" t="s">
        <v>43</v>
      </c>
      <c r="M156" s="84">
        <v>44943</v>
      </c>
      <c r="N156" s="11">
        <v>45124</v>
      </c>
      <c r="O156" s="11">
        <v>45230</v>
      </c>
      <c r="P156" s="11">
        <v>45260</v>
      </c>
      <c r="Q156" s="11">
        <v>45443</v>
      </c>
      <c r="R156" s="11">
        <v>45261</v>
      </c>
      <c r="S156" s="11">
        <v>45351</v>
      </c>
      <c r="T156" s="8"/>
      <c r="U156" s="8"/>
      <c r="V156" s="8"/>
      <c r="W156" s="8"/>
      <c r="X156" s="8"/>
      <c r="Y156" s="11"/>
      <c r="Z156" s="8"/>
      <c r="AA156" s="8"/>
      <c r="AB156" s="8"/>
      <c r="AC156" s="11"/>
      <c r="AD156" s="83">
        <f t="shared" si="1"/>
        <v>45443</v>
      </c>
      <c r="AE156" s="26" t="s">
        <v>1255</v>
      </c>
    </row>
    <row r="157" spans="2:31" x14ac:dyDescent="0.3">
      <c r="B157" s="7" t="s">
        <v>1017</v>
      </c>
      <c r="C157" s="8" t="s">
        <v>1018</v>
      </c>
      <c r="D157" s="19" t="s">
        <v>1662</v>
      </c>
      <c r="E157" s="8" t="s">
        <v>1019</v>
      </c>
      <c r="F157" s="8" t="s">
        <v>197</v>
      </c>
      <c r="G157" s="8"/>
      <c r="H157" s="10" t="s">
        <v>1663</v>
      </c>
      <c r="I157" s="11" t="s">
        <v>1660</v>
      </c>
      <c r="J157" s="11" t="s">
        <v>1660</v>
      </c>
      <c r="K157" s="11" t="s">
        <v>1661</v>
      </c>
      <c r="L157" s="11" t="s">
        <v>51</v>
      </c>
      <c r="M157" s="84">
        <v>44965</v>
      </c>
      <c r="N157" s="11">
        <v>45138</v>
      </c>
      <c r="O157" s="11">
        <v>45291</v>
      </c>
      <c r="P157" s="11">
        <v>45473</v>
      </c>
      <c r="Q157" s="11">
        <v>45657</v>
      </c>
      <c r="R157" s="11"/>
      <c r="S157" s="11"/>
      <c r="T157" s="11">
        <v>45747</v>
      </c>
      <c r="U157" s="8"/>
      <c r="V157" s="8"/>
      <c r="W157" s="8"/>
      <c r="X157" s="8"/>
      <c r="Y157" s="8"/>
      <c r="Z157" s="8"/>
      <c r="AA157" s="8"/>
      <c r="AB157" s="8"/>
      <c r="AC157" s="11"/>
      <c r="AD157" s="83">
        <f t="shared" si="1"/>
        <v>45747</v>
      </c>
      <c r="AE157" s="85" t="s">
        <v>1286</v>
      </c>
    </row>
    <row r="158" spans="2:31" x14ac:dyDescent="0.3">
      <c r="B158" s="7" t="s">
        <v>1664</v>
      </c>
      <c r="C158" s="8" t="s">
        <v>1665</v>
      </c>
      <c r="D158" s="19" t="s">
        <v>1666</v>
      </c>
      <c r="E158" s="8" t="s">
        <v>1667</v>
      </c>
      <c r="F158" s="8" t="s">
        <v>197</v>
      </c>
      <c r="G158" s="8"/>
      <c r="H158" s="10" t="s">
        <v>1668</v>
      </c>
      <c r="I158" s="11" t="s">
        <v>42</v>
      </c>
      <c r="J158" s="11" t="s">
        <v>42</v>
      </c>
      <c r="K158" s="11" t="s">
        <v>42</v>
      </c>
      <c r="L158" s="91" t="s">
        <v>43</v>
      </c>
      <c r="M158" s="109">
        <v>44783</v>
      </c>
      <c r="N158" s="94">
        <v>44834</v>
      </c>
      <c r="O158" s="11">
        <v>44865</v>
      </c>
      <c r="P158" s="11">
        <v>44957</v>
      </c>
      <c r="Q158" s="11">
        <v>45138</v>
      </c>
      <c r="R158" s="11">
        <v>45261</v>
      </c>
      <c r="S158" s="11">
        <v>45351</v>
      </c>
      <c r="T158" s="11">
        <v>45230</v>
      </c>
      <c r="U158" s="11">
        <v>45260</v>
      </c>
      <c r="V158" s="11">
        <v>45443</v>
      </c>
      <c r="W158" s="11">
        <v>45535</v>
      </c>
      <c r="X158" s="11">
        <v>45626</v>
      </c>
      <c r="Y158" s="11">
        <v>45716</v>
      </c>
      <c r="Z158" s="11">
        <v>45808</v>
      </c>
      <c r="AA158" s="8"/>
      <c r="AB158" s="8"/>
      <c r="AC158" s="11"/>
      <c r="AD158" s="83">
        <f t="shared" si="1"/>
        <v>45808</v>
      </c>
      <c r="AE158" s="85" t="s">
        <v>1255</v>
      </c>
    </row>
    <row r="159" spans="2:31" x14ac:dyDescent="0.3">
      <c r="B159" s="7" t="s">
        <v>1669</v>
      </c>
      <c r="C159" s="8" t="s">
        <v>1670</v>
      </c>
      <c r="D159" s="19" t="s">
        <v>1671</v>
      </c>
      <c r="E159" s="8" t="s">
        <v>1672</v>
      </c>
      <c r="F159" s="8" t="s">
        <v>70</v>
      </c>
      <c r="G159" s="8"/>
      <c r="H159" s="10" t="s">
        <v>1673</v>
      </c>
      <c r="I159" s="11" t="s">
        <v>1674</v>
      </c>
      <c r="J159" s="11" t="s">
        <v>1675</v>
      </c>
      <c r="K159" s="11" t="s">
        <v>1408</v>
      </c>
      <c r="L159" s="11" t="s">
        <v>51</v>
      </c>
      <c r="M159" s="109">
        <v>45703</v>
      </c>
      <c r="N159" s="94">
        <v>45777</v>
      </c>
      <c r="O159" s="11">
        <v>45869</v>
      </c>
      <c r="P159" s="11">
        <v>45961</v>
      </c>
      <c r="Q159" s="11"/>
      <c r="R159" s="11"/>
      <c r="S159" s="11"/>
      <c r="T159" s="11"/>
      <c r="U159" s="11"/>
      <c r="V159" s="11"/>
      <c r="W159" s="11"/>
      <c r="X159" s="11"/>
      <c r="Y159" s="8"/>
      <c r="Z159" s="8"/>
      <c r="AA159" s="8"/>
      <c r="AB159" s="8"/>
      <c r="AC159" s="11"/>
      <c r="AD159" s="83">
        <f t="shared" si="1"/>
        <v>45961</v>
      </c>
      <c r="AE159" s="85" t="s">
        <v>1255</v>
      </c>
    </row>
    <row r="160" spans="2:31" x14ac:dyDescent="0.3">
      <c r="B160" s="7" t="s">
        <v>1676</v>
      </c>
      <c r="C160" s="8" t="s">
        <v>1677</v>
      </c>
      <c r="D160" s="19" t="s">
        <v>1678</v>
      </c>
      <c r="E160" s="8" t="s">
        <v>61</v>
      </c>
      <c r="F160" s="8" t="s">
        <v>1181</v>
      </c>
      <c r="G160" s="8"/>
      <c r="H160" s="10" t="s">
        <v>1679</v>
      </c>
      <c r="I160" s="11" t="s">
        <v>1464</v>
      </c>
      <c r="J160" s="11" t="s">
        <v>1465</v>
      </c>
      <c r="K160" s="11" t="s">
        <v>42</v>
      </c>
      <c r="L160" s="11" t="s">
        <v>43</v>
      </c>
      <c r="M160" s="84">
        <v>45139</v>
      </c>
      <c r="N160" s="11">
        <v>45230</v>
      </c>
      <c r="O160" s="11">
        <v>45260</v>
      </c>
      <c r="P160" s="11">
        <v>45443</v>
      </c>
      <c r="Q160" s="11">
        <v>45535</v>
      </c>
      <c r="R160" s="11">
        <v>45261</v>
      </c>
      <c r="S160" s="11">
        <v>45351</v>
      </c>
      <c r="T160" s="11">
        <v>45626</v>
      </c>
      <c r="U160" s="11">
        <v>45716</v>
      </c>
      <c r="V160" s="11">
        <v>45808</v>
      </c>
      <c r="W160" s="11">
        <v>45900</v>
      </c>
      <c r="X160" s="8"/>
      <c r="Y160" s="8"/>
      <c r="Z160" s="8"/>
      <c r="AA160" s="8"/>
      <c r="AB160" s="8"/>
      <c r="AC160" s="11"/>
      <c r="AD160" s="83">
        <f t="shared" si="1"/>
        <v>45900</v>
      </c>
      <c r="AE160" s="85" t="s">
        <v>1286</v>
      </c>
    </row>
    <row r="161" spans="2:31" x14ac:dyDescent="0.3">
      <c r="B161" s="7" t="s">
        <v>1680</v>
      </c>
      <c r="C161" s="8" t="s">
        <v>1681</v>
      </c>
      <c r="D161" s="19" t="s">
        <v>1682</v>
      </c>
      <c r="E161" s="8" t="s">
        <v>61</v>
      </c>
      <c r="F161" s="8" t="s">
        <v>1181</v>
      </c>
      <c r="G161" s="8"/>
      <c r="H161" s="10" t="s">
        <v>1683</v>
      </c>
      <c r="I161" s="11" t="s">
        <v>1684</v>
      </c>
      <c r="J161" s="11" t="s">
        <v>1599</v>
      </c>
      <c r="K161" s="11" t="s">
        <v>73</v>
      </c>
      <c r="L161" s="11" t="s">
        <v>43</v>
      </c>
      <c r="M161" s="84">
        <v>45684</v>
      </c>
      <c r="N161" s="11">
        <v>45777</v>
      </c>
      <c r="O161" s="11">
        <v>45869</v>
      </c>
      <c r="P161" s="11"/>
      <c r="Q161" s="11"/>
      <c r="R161" s="11"/>
      <c r="S161" s="11"/>
      <c r="T161" s="11"/>
      <c r="U161" s="11"/>
      <c r="V161" s="11"/>
      <c r="W161" s="8"/>
      <c r="X161" s="8"/>
      <c r="Y161" s="8"/>
      <c r="Z161" s="8"/>
      <c r="AA161" s="8"/>
      <c r="AB161" s="8"/>
      <c r="AC161" s="11"/>
      <c r="AD161" s="83">
        <f t="shared" si="1"/>
        <v>45869</v>
      </c>
      <c r="AE161" s="85" t="s">
        <v>1286</v>
      </c>
    </row>
    <row r="162" spans="2:31" x14ac:dyDescent="0.3">
      <c r="B162" s="7" t="s">
        <v>1685</v>
      </c>
      <c r="C162" s="8" t="s">
        <v>1686</v>
      </c>
      <c r="D162" s="19" t="s">
        <v>1687</v>
      </c>
      <c r="E162" s="8" t="s">
        <v>1462</v>
      </c>
      <c r="F162" s="8" t="s">
        <v>131</v>
      </c>
      <c r="G162" s="8"/>
      <c r="H162" s="10" t="s">
        <v>1688</v>
      </c>
      <c r="I162" s="11" t="s">
        <v>186</v>
      </c>
      <c r="J162" s="11" t="s">
        <v>42</v>
      </c>
      <c r="K162" s="11" t="s">
        <v>42</v>
      </c>
      <c r="L162" s="11" t="s">
        <v>43</v>
      </c>
      <c r="M162" s="84">
        <v>45627</v>
      </c>
      <c r="N162" s="11">
        <v>45716</v>
      </c>
      <c r="O162" s="11">
        <v>45808</v>
      </c>
      <c r="P162" s="11"/>
      <c r="Q162" s="11"/>
      <c r="R162" s="11"/>
      <c r="S162" s="11"/>
      <c r="T162" s="11"/>
      <c r="U162" s="11"/>
      <c r="V162" s="8"/>
      <c r="W162" s="8"/>
      <c r="X162" s="8"/>
      <c r="Y162" s="8"/>
      <c r="Z162" s="8"/>
      <c r="AA162" s="8"/>
      <c r="AB162" s="8"/>
      <c r="AC162" s="11"/>
      <c r="AD162" s="83">
        <f t="shared" si="1"/>
        <v>45808</v>
      </c>
      <c r="AE162" s="85" t="s">
        <v>1255</v>
      </c>
    </row>
    <row r="163" spans="2:31" x14ac:dyDescent="0.3">
      <c r="B163" s="7" t="s">
        <v>1689</v>
      </c>
      <c r="C163" s="8" t="s">
        <v>1690</v>
      </c>
      <c r="D163" s="19" t="s">
        <v>1691</v>
      </c>
      <c r="E163" s="8" t="s">
        <v>1692</v>
      </c>
      <c r="F163" s="8" t="s">
        <v>1693</v>
      </c>
      <c r="G163" s="8"/>
      <c r="H163" s="10" t="s">
        <v>1694</v>
      </c>
      <c r="I163" s="11" t="s">
        <v>901</v>
      </c>
      <c r="J163" s="11" t="s">
        <v>901</v>
      </c>
      <c r="K163" s="11" t="s">
        <v>901</v>
      </c>
      <c r="L163" s="11" t="s">
        <v>51</v>
      </c>
      <c r="M163" s="84">
        <v>44927</v>
      </c>
      <c r="N163" s="11">
        <v>45107</v>
      </c>
      <c r="O163" s="11">
        <v>45199</v>
      </c>
      <c r="P163" s="11">
        <v>45291</v>
      </c>
      <c r="Q163" s="11">
        <v>45565</v>
      </c>
      <c r="R163" s="11">
        <v>45292</v>
      </c>
      <c r="S163" s="11">
        <v>45382</v>
      </c>
      <c r="T163" s="11">
        <v>45747</v>
      </c>
      <c r="U163" s="11">
        <v>45930</v>
      </c>
      <c r="V163" s="8"/>
      <c r="W163" s="8"/>
      <c r="X163" s="8"/>
      <c r="Y163" s="8"/>
      <c r="Z163" s="8"/>
      <c r="AA163" s="8"/>
      <c r="AB163" s="8"/>
      <c r="AC163" s="11"/>
      <c r="AD163" s="83">
        <f t="shared" si="1"/>
        <v>45930</v>
      </c>
      <c r="AE163" s="85" t="s">
        <v>1286</v>
      </c>
    </row>
    <row r="164" spans="2:31" x14ac:dyDescent="0.3">
      <c r="B164" s="7" t="s">
        <v>1695</v>
      </c>
      <c r="C164" s="8" t="s">
        <v>1696</v>
      </c>
      <c r="D164" s="19" t="s">
        <v>1697</v>
      </c>
      <c r="E164" s="8" t="s">
        <v>1698</v>
      </c>
      <c r="F164" s="8" t="s">
        <v>1115</v>
      </c>
      <c r="G164" s="8"/>
      <c r="H164" s="10" t="s">
        <v>1699</v>
      </c>
      <c r="I164" s="11" t="s">
        <v>1367</v>
      </c>
      <c r="J164" s="11" t="s">
        <v>73</v>
      </c>
      <c r="K164" s="11" t="s">
        <v>73</v>
      </c>
      <c r="L164" s="11" t="s">
        <v>51</v>
      </c>
      <c r="M164" s="84">
        <v>45348</v>
      </c>
      <c r="N164" s="11">
        <v>45443</v>
      </c>
      <c r="O164" s="11">
        <v>45626</v>
      </c>
      <c r="P164" s="11">
        <v>45716</v>
      </c>
      <c r="Q164" s="11">
        <v>45900</v>
      </c>
      <c r="R164" s="15"/>
      <c r="S164" s="15"/>
      <c r="T164" s="8"/>
      <c r="U164" s="8"/>
      <c r="V164" s="8"/>
      <c r="W164" s="8"/>
      <c r="X164" s="8"/>
      <c r="Y164" s="8"/>
      <c r="Z164" s="8"/>
      <c r="AA164" s="8"/>
      <c r="AB164" s="8"/>
      <c r="AC164" s="11"/>
      <c r="AD164" s="83">
        <f t="shared" si="1"/>
        <v>45900</v>
      </c>
      <c r="AE164" s="85" t="s">
        <v>1286</v>
      </c>
    </row>
    <row r="165" spans="2:31" x14ac:dyDescent="0.3">
      <c r="B165" s="7" t="s">
        <v>1700</v>
      </c>
      <c r="C165" s="8" t="s">
        <v>1701</v>
      </c>
      <c r="D165" s="19" t="s">
        <v>1702</v>
      </c>
      <c r="E165" s="8" t="s">
        <v>1703</v>
      </c>
      <c r="F165" s="8" t="s">
        <v>179</v>
      </c>
      <c r="G165" s="8"/>
      <c r="H165" s="10" t="s">
        <v>1704</v>
      </c>
      <c r="I165" s="11" t="s">
        <v>1705</v>
      </c>
      <c r="J165" s="11" t="s">
        <v>1548</v>
      </c>
      <c r="K165" s="11" t="s">
        <v>42</v>
      </c>
      <c r="L165" s="11" t="s">
        <v>43</v>
      </c>
      <c r="M165" s="84">
        <v>45475</v>
      </c>
      <c r="N165" s="11">
        <v>45565</v>
      </c>
      <c r="O165" s="11">
        <v>45626</v>
      </c>
      <c r="P165" s="11"/>
      <c r="Q165" s="11"/>
      <c r="R165" s="11"/>
      <c r="S165" s="11"/>
      <c r="T165" s="8"/>
      <c r="U165" s="8"/>
      <c r="V165" s="8"/>
      <c r="W165" s="8"/>
      <c r="X165" s="8"/>
      <c r="Y165" s="8"/>
      <c r="Z165" s="8"/>
      <c r="AA165" s="8"/>
      <c r="AB165" s="8"/>
      <c r="AC165" s="11"/>
      <c r="AD165" s="83">
        <f t="shared" si="1"/>
        <v>45626</v>
      </c>
      <c r="AE165" s="26" t="s">
        <v>1255</v>
      </c>
    </row>
    <row r="166" spans="2:31" x14ac:dyDescent="0.3">
      <c r="B166" s="87" t="s">
        <v>1706</v>
      </c>
      <c r="C166" s="8" t="s">
        <v>1707</v>
      </c>
      <c r="D166" s="9" t="s">
        <v>1708</v>
      </c>
      <c r="E166" s="88" t="s">
        <v>1709</v>
      </c>
      <c r="F166" s="88" t="s">
        <v>131</v>
      </c>
      <c r="G166" s="88"/>
      <c r="H166" s="150" t="s">
        <v>1710</v>
      </c>
      <c r="I166" s="89" t="s">
        <v>1235</v>
      </c>
      <c r="J166" s="89" t="s">
        <v>73</v>
      </c>
      <c r="K166" s="89" t="s">
        <v>1236</v>
      </c>
      <c r="L166" s="89" t="s">
        <v>51</v>
      </c>
      <c r="M166" s="90">
        <v>45793</v>
      </c>
      <c r="N166" s="89">
        <v>45869</v>
      </c>
      <c r="O166" s="89"/>
      <c r="P166" s="89"/>
      <c r="Q166" s="89"/>
      <c r="R166" s="89"/>
      <c r="S166" s="89"/>
      <c r="T166" s="88"/>
      <c r="U166" s="88"/>
      <c r="V166" s="88"/>
      <c r="W166" s="88"/>
      <c r="X166" s="88"/>
      <c r="Y166" s="88"/>
      <c r="Z166" s="88"/>
      <c r="AA166" s="88"/>
      <c r="AB166" s="88"/>
      <c r="AC166" s="89"/>
      <c r="AD166" s="83">
        <f t="shared" si="1"/>
        <v>45869</v>
      </c>
      <c r="AE166" s="85" t="s">
        <v>1255</v>
      </c>
    </row>
    <row r="167" spans="2:31" x14ac:dyDescent="0.3">
      <c r="B167" s="7" t="s">
        <v>552</v>
      </c>
      <c r="C167" s="8" t="s">
        <v>553</v>
      </c>
      <c r="D167" s="19" t="s">
        <v>1711</v>
      </c>
      <c r="E167" s="8" t="s">
        <v>1014</v>
      </c>
      <c r="F167" s="8" t="s">
        <v>1539</v>
      </c>
      <c r="G167" s="8"/>
      <c r="H167" s="10" t="s">
        <v>1712</v>
      </c>
      <c r="I167" s="11" t="s">
        <v>1713</v>
      </c>
      <c r="J167" s="11" t="s">
        <v>73</v>
      </c>
      <c r="K167" s="11" t="s">
        <v>73</v>
      </c>
      <c r="L167" s="11" t="s">
        <v>6</v>
      </c>
      <c r="M167" s="84">
        <v>45247</v>
      </c>
      <c r="N167" s="11">
        <v>45613</v>
      </c>
      <c r="O167" s="11">
        <v>46022</v>
      </c>
      <c r="P167" s="11"/>
      <c r="Q167" s="8"/>
      <c r="R167" s="11"/>
      <c r="S167" s="11"/>
      <c r="T167" s="8"/>
      <c r="U167" s="8"/>
      <c r="V167" s="8"/>
      <c r="W167" s="8"/>
      <c r="X167" s="8"/>
      <c r="Y167" s="8"/>
      <c r="Z167" s="8"/>
      <c r="AA167" s="8"/>
      <c r="AB167" s="8"/>
      <c r="AC167" s="11"/>
      <c r="AD167" s="83">
        <f t="shared" si="1"/>
        <v>46022</v>
      </c>
      <c r="AE167" s="85" t="s">
        <v>1280</v>
      </c>
    </row>
    <row r="168" spans="2:31" x14ac:dyDescent="0.3">
      <c r="B168" s="7" t="s">
        <v>1714</v>
      </c>
      <c r="C168" s="8" t="s">
        <v>1715</v>
      </c>
      <c r="D168" s="19" t="s">
        <v>1716</v>
      </c>
      <c r="E168" s="8" t="s">
        <v>1444</v>
      </c>
      <c r="F168" s="8" t="s">
        <v>1445</v>
      </c>
      <c r="G168" s="8"/>
      <c r="H168" s="10" t="s">
        <v>1717</v>
      </c>
      <c r="I168" s="11" t="s">
        <v>1240</v>
      </c>
      <c r="J168" s="11" t="s">
        <v>42</v>
      </c>
      <c r="K168" s="11" t="s">
        <v>42</v>
      </c>
      <c r="L168" s="11" t="s">
        <v>43</v>
      </c>
      <c r="M168" s="84">
        <v>45439</v>
      </c>
      <c r="N168" s="11">
        <v>45535</v>
      </c>
      <c r="O168" s="11"/>
      <c r="P168" s="11"/>
      <c r="Q168" s="8"/>
      <c r="R168" s="11"/>
      <c r="S168" s="11"/>
      <c r="T168" s="8"/>
      <c r="U168" s="8"/>
      <c r="V168" s="8"/>
      <c r="W168" s="8"/>
      <c r="X168" s="8"/>
      <c r="Y168" s="8"/>
      <c r="Z168" s="8"/>
      <c r="AA168" s="8"/>
      <c r="AB168" s="8"/>
      <c r="AC168" s="11"/>
      <c r="AD168" s="83">
        <f t="shared" si="1"/>
        <v>45535</v>
      </c>
      <c r="AE168" s="26" t="s">
        <v>1255</v>
      </c>
    </row>
    <row r="169" spans="2:31" x14ac:dyDescent="0.3">
      <c r="B169" s="7" t="s">
        <v>1718</v>
      </c>
      <c r="C169" s="8" t="s">
        <v>1719</v>
      </c>
      <c r="D169" s="19" t="s">
        <v>1720</v>
      </c>
      <c r="E169" s="8" t="s">
        <v>1431</v>
      </c>
      <c r="F169" s="8" t="s">
        <v>1432</v>
      </c>
      <c r="G169" s="8"/>
      <c r="H169" s="10" t="s">
        <v>1721</v>
      </c>
      <c r="I169" s="11" t="s">
        <v>1367</v>
      </c>
      <c r="J169" s="11" t="s">
        <v>73</v>
      </c>
      <c r="K169" s="11" t="s">
        <v>73</v>
      </c>
      <c r="L169" s="11" t="s">
        <v>51</v>
      </c>
      <c r="M169" s="84">
        <v>45068</v>
      </c>
      <c r="N169" s="11">
        <v>45169</v>
      </c>
      <c r="O169" s="11">
        <v>45260</v>
      </c>
      <c r="P169" s="11">
        <v>45443</v>
      </c>
      <c r="Q169" s="11">
        <v>45535</v>
      </c>
      <c r="R169" s="11">
        <v>45261</v>
      </c>
      <c r="S169" s="11">
        <v>45351</v>
      </c>
      <c r="T169" s="8" t="s">
        <v>1722</v>
      </c>
      <c r="U169" s="11">
        <v>45626</v>
      </c>
      <c r="V169" s="8" t="s">
        <v>1722</v>
      </c>
      <c r="W169" s="11">
        <v>45716</v>
      </c>
      <c r="X169" s="11">
        <v>45747</v>
      </c>
      <c r="Y169" s="11">
        <v>45777</v>
      </c>
      <c r="Z169" s="8"/>
      <c r="AA169" s="8"/>
      <c r="AB169" s="8"/>
      <c r="AC169" s="11"/>
      <c r="AD169" s="83">
        <f t="shared" si="1"/>
        <v>45777</v>
      </c>
      <c r="AE169" s="85" t="s">
        <v>1286</v>
      </c>
    </row>
    <row r="170" spans="2:31" x14ac:dyDescent="0.3">
      <c r="B170" s="7" t="s">
        <v>1723</v>
      </c>
      <c r="C170" s="8" t="s">
        <v>1724</v>
      </c>
      <c r="D170" s="19" t="s">
        <v>1725</v>
      </c>
      <c r="E170" s="8" t="s">
        <v>1726</v>
      </c>
      <c r="F170" s="8" t="s">
        <v>1328</v>
      </c>
      <c r="G170" s="8"/>
      <c r="H170" s="10" t="s">
        <v>1727</v>
      </c>
      <c r="I170" s="11" t="s">
        <v>1728</v>
      </c>
      <c r="J170" s="11" t="s">
        <v>1660</v>
      </c>
      <c r="K170" s="11" t="s">
        <v>1661</v>
      </c>
      <c r="L170" s="11" t="s">
        <v>43</v>
      </c>
      <c r="M170" s="84">
        <v>45586</v>
      </c>
      <c r="N170" s="11">
        <v>45657</v>
      </c>
      <c r="O170" s="11"/>
      <c r="P170" s="11"/>
      <c r="Q170" s="11"/>
      <c r="R170" s="11"/>
      <c r="S170" s="11"/>
      <c r="T170" s="8"/>
      <c r="U170" s="8"/>
      <c r="V170" s="8"/>
      <c r="W170" s="8"/>
      <c r="X170" s="8"/>
      <c r="Y170" s="8"/>
      <c r="Z170" s="8"/>
      <c r="AA170" s="8"/>
      <c r="AB170" s="8"/>
      <c r="AC170" s="11"/>
      <c r="AD170" s="83">
        <f t="shared" si="1"/>
        <v>45657</v>
      </c>
      <c r="AE170" s="85" t="s">
        <v>1286</v>
      </c>
    </row>
    <row r="171" spans="2:31" x14ac:dyDescent="0.3">
      <c r="B171" s="87" t="s">
        <v>1729</v>
      </c>
      <c r="C171" s="8" t="s">
        <v>1730</v>
      </c>
      <c r="D171" s="9" t="s">
        <v>1731</v>
      </c>
      <c r="E171" s="88" t="s">
        <v>61</v>
      </c>
      <c r="F171" s="88" t="s">
        <v>1181</v>
      </c>
      <c r="G171" s="88"/>
      <c r="H171" s="145" t="s">
        <v>1732</v>
      </c>
      <c r="I171" s="89" t="s">
        <v>1733</v>
      </c>
      <c r="J171" s="89" t="s">
        <v>1589</v>
      </c>
      <c r="K171" s="89" t="s">
        <v>1590</v>
      </c>
      <c r="L171" s="89" t="s">
        <v>43</v>
      </c>
      <c r="M171" s="90">
        <v>45950</v>
      </c>
      <c r="N171" s="89">
        <v>46053</v>
      </c>
      <c r="O171" s="89"/>
      <c r="P171" s="89"/>
      <c r="Q171" s="89"/>
      <c r="R171" s="89"/>
      <c r="S171" s="89"/>
      <c r="T171" s="88"/>
      <c r="U171" s="88"/>
      <c r="V171" s="88"/>
      <c r="W171" s="88"/>
      <c r="X171" s="88"/>
      <c r="Y171" s="88"/>
      <c r="Z171" s="88"/>
      <c r="AA171" s="88"/>
      <c r="AB171" s="88"/>
      <c r="AC171" s="89"/>
      <c r="AD171" s="83">
        <f t="shared" si="1"/>
        <v>46053</v>
      </c>
      <c r="AE171" s="85" t="s">
        <v>1280</v>
      </c>
    </row>
    <row r="172" spans="2:31" x14ac:dyDescent="0.3">
      <c r="B172" s="7" t="s">
        <v>1734</v>
      </c>
      <c r="C172" s="8" t="s">
        <v>1735</v>
      </c>
      <c r="D172" s="19" t="s">
        <v>1736</v>
      </c>
      <c r="E172" s="8" t="s">
        <v>210</v>
      </c>
      <c r="F172" s="8" t="s">
        <v>1265</v>
      </c>
      <c r="G172" s="8"/>
      <c r="H172" s="10" t="s">
        <v>1737</v>
      </c>
      <c r="I172" s="11" t="s">
        <v>1429</v>
      </c>
      <c r="J172" s="11" t="s">
        <v>73</v>
      </c>
      <c r="K172" s="11" t="s">
        <v>73</v>
      </c>
      <c r="L172" s="11" t="s">
        <v>51</v>
      </c>
      <c r="M172" s="84">
        <v>44939</v>
      </c>
      <c r="N172" s="11">
        <v>45090</v>
      </c>
      <c r="O172" s="11">
        <v>45199</v>
      </c>
      <c r="P172" s="11">
        <v>45291</v>
      </c>
      <c r="Q172" s="11">
        <v>45473</v>
      </c>
      <c r="R172" s="11">
        <v>45292</v>
      </c>
      <c r="S172" s="11">
        <v>45382</v>
      </c>
      <c r="T172" s="11">
        <v>45565</v>
      </c>
      <c r="U172" s="11">
        <v>45657</v>
      </c>
      <c r="V172" s="11">
        <v>45747</v>
      </c>
      <c r="W172" s="8"/>
      <c r="X172" s="8"/>
      <c r="Y172" s="11"/>
      <c r="Z172" s="8"/>
      <c r="AA172" s="8"/>
      <c r="AB172" s="8"/>
      <c r="AC172" s="11"/>
      <c r="AD172" s="83">
        <f t="shared" si="1"/>
        <v>45747</v>
      </c>
      <c r="AE172" s="85" t="s">
        <v>1286</v>
      </c>
    </row>
    <row r="173" spans="2:31" x14ac:dyDescent="0.3">
      <c r="B173" s="7" t="s">
        <v>1738</v>
      </c>
      <c r="C173" s="8" t="s">
        <v>1739</v>
      </c>
      <c r="D173" s="19" t="s">
        <v>1740</v>
      </c>
      <c r="E173" s="8" t="s">
        <v>1130</v>
      </c>
      <c r="F173" s="8" t="s">
        <v>1252</v>
      </c>
      <c r="G173" s="8"/>
      <c r="H173" s="10" t="s">
        <v>1741</v>
      </c>
      <c r="I173" s="11" t="s">
        <v>1243</v>
      </c>
      <c r="J173" s="11" t="s">
        <v>42</v>
      </c>
      <c r="K173" s="11" t="s">
        <v>42</v>
      </c>
      <c r="L173" s="11" t="s">
        <v>43</v>
      </c>
      <c r="M173" s="84">
        <v>45566</v>
      </c>
      <c r="N173" s="11">
        <v>45657</v>
      </c>
      <c r="O173" s="11">
        <v>45688</v>
      </c>
      <c r="P173" s="11">
        <v>45777</v>
      </c>
      <c r="Q173" s="11"/>
      <c r="R173" s="11"/>
      <c r="S173" s="11"/>
      <c r="T173" s="8"/>
      <c r="U173" s="8"/>
      <c r="V173" s="8"/>
      <c r="W173" s="8"/>
      <c r="X173" s="8"/>
      <c r="Y173" s="8"/>
      <c r="Z173" s="8"/>
      <c r="AA173" s="8"/>
      <c r="AB173" s="8"/>
      <c r="AC173" s="11"/>
      <c r="AD173" s="83">
        <f t="shared" si="1"/>
        <v>45777</v>
      </c>
      <c r="AE173" s="85" t="s">
        <v>1286</v>
      </c>
    </row>
    <row r="174" spans="2:31" x14ac:dyDescent="0.3">
      <c r="B174" s="87" t="s">
        <v>1742</v>
      </c>
      <c r="C174" s="8" t="s">
        <v>1743</v>
      </c>
      <c r="D174" s="9" t="s">
        <v>1744</v>
      </c>
      <c r="E174" s="88" t="s">
        <v>1277</v>
      </c>
      <c r="F174" s="88" t="s">
        <v>1278</v>
      </c>
      <c r="G174" s="88"/>
      <c r="H174" s="145" t="s">
        <v>1745</v>
      </c>
      <c r="I174" s="89" t="s">
        <v>312</v>
      </c>
      <c r="J174" s="89" t="s">
        <v>1746</v>
      </c>
      <c r="K174" s="89" t="s">
        <v>1246</v>
      </c>
      <c r="L174" s="89" t="s">
        <v>43</v>
      </c>
      <c r="M174" s="90">
        <v>45947</v>
      </c>
      <c r="N174" s="89">
        <v>46022</v>
      </c>
      <c r="O174" s="89"/>
      <c r="P174" s="89"/>
      <c r="Q174" s="89"/>
      <c r="R174" s="89"/>
      <c r="S174" s="89"/>
      <c r="T174" s="88"/>
      <c r="U174" s="88"/>
      <c r="V174" s="88"/>
      <c r="W174" s="88"/>
      <c r="X174" s="88"/>
      <c r="Y174" s="88"/>
      <c r="Z174" s="88"/>
      <c r="AA174" s="88"/>
      <c r="AB174" s="88"/>
      <c r="AC174" s="89"/>
      <c r="AD174" s="83">
        <f t="shared" si="1"/>
        <v>46022</v>
      </c>
      <c r="AE174" s="85" t="s">
        <v>1280</v>
      </c>
    </row>
    <row r="175" spans="2:31" x14ac:dyDescent="0.3">
      <c r="B175" s="7" t="s">
        <v>1747</v>
      </c>
      <c r="C175" s="8" t="s">
        <v>1748</v>
      </c>
      <c r="D175" s="19" t="s">
        <v>1749</v>
      </c>
      <c r="E175" s="8" t="s">
        <v>1750</v>
      </c>
      <c r="F175" s="8" t="s">
        <v>1328</v>
      </c>
      <c r="G175" s="8"/>
      <c r="H175" s="10" t="s">
        <v>1751</v>
      </c>
      <c r="I175" s="11" t="s">
        <v>570</v>
      </c>
      <c r="J175" s="11" t="s">
        <v>73</v>
      </c>
      <c r="K175" s="11" t="s">
        <v>73</v>
      </c>
      <c r="L175" s="11" t="s">
        <v>51</v>
      </c>
      <c r="M175" s="84">
        <v>44966</v>
      </c>
      <c r="N175" s="11">
        <v>45138</v>
      </c>
      <c r="O175" s="92">
        <v>45322</v>
      </c>
      <c r="P175" s="11">
        <v>45504</v>
      </c>
      <c r="Q175" s="8"/>
      <c r="R175" s="11">
        <v>45323</v>
      </c>
      <c r="S175" s="11">
        <v>45412</v>
      </c>
      <c r="T175" s="8"/>
      <c r="U175" s="8"/>
      <c r="V175" s="8"/>
      <c r="W175" s="8"/>
      <c r="X175" s="8"/>
      <c r="Y175" s="8"/>
      <c r="Z175" s="8"/>
      <c r="AA175" s="8"/>
      <c r="AB175" s="8"/>
      <c r="AC175" s="11"/>
      <c r="AD175" s="83">
        <f t="shared" si="1"/>
        <v>45504</v>
      </c>
      <c r="AE175" s="26" t="s">
        <v>1255</v>
      </c>
    </row>
    <row r="176" spans="2:31" x14ac:dyDescent="0.3">
      <c r="B176" s="7" t="s">
        <v>1752</v>
      </c>
      <c r="C176" s="8" t="s">
        <v>1753</v>
      </c>
      <c r="D176" s="19" t="s">
        <v>1754</v>
      </c>
      <c r="E176" s="8" t="s">
        <v>1755</v>
      </c>
      <c r="F176" s="8" t="s">
        <v>1756</v>
      </c>
      <c r="G176" s="8"/>
      <c r="H176" s="10" t="s">
        <v>1757</v>
      </c>
      <c r="I176" s="11" t="s">
        <v>1309</v>
      </c>
      <c r="J176" s="11" t="s">
        <v>42</v>
      </c>
      <c r="K176" s="11" t="s">
        <v>42</v>
      </c>
      <c r="L176" s="11" t="s">
        <v>43</v>
      </c>
      <c r="M176" s="84">
        <v>45474</v>
      </c>
      <c r="N176" s="11">
        <v>45565</v>
      </c>
      <c r="O176" s="92">
        <v>45626</v>
      </c>
      <c r="P176" s="11">
        <v>45716</v>
      </c>
      <c r="Q176" s="11">
        <v>45808</v>
      </c>
      <c r="R176" s="11"/>
      <c r="S176" s="11"/>
      <c r="T176" s="8"/>
      <c r="U176" s="8"/>
      <c r="V176" s="8"/>
      <c r="W176" s="8"/>
      <c r="X176" s="8"/>
      <c r="Y176" s="8"/>
      <c r="Z176" s="8"/>
      <c r="AA176" s="8"/>
      <c r="AB176" s="8"/>
      <c r="AC176" s="11"/>
      <c r="AD176" s="83">
        <f t="shared" si="1"/>
        <v>45808</v>
      </c>
      <c r="AE176" s="85" t="s">
        <v>1255</v>
      </c>
    </row>
    <row r="177" spans="2:31" x14ac:dyDescent="0.3">
      <c r="B177" s="7" t="s">
        <v>1758</v>
      </c>
      <c r="C177" s="8" t="s">
        <v>1759</v>
      </c>
      <c r="D177" s="19" t="s">
        <v>1760</v>
      </c>
      <c r="E177" s="8" t="s">
        <v>1357</v>
      </c>
      <c r="F177" s="8" t="s">
        <v>1328</v>
      </c>
      <c r="G177" s="8"/>
      <c r="H177" s="10" t="s">
        <v>1761</v>
      </c>
      <c r="I177" s="11" t="s">
        <v>1762</v>
      </c>
      <c r="J177" s="11" t="s">
        <v>1763</v>
      </c>
      <c r="K177" s="11" t="s">
        <v>1246</v>
      </c>
      <c r="L177" s="11" t="s">
        <v>43</v>
      </c>
      <c r="M177" s="84">
        <v>45595</v>
      </c>
      <c r="N177" s="11">
        <v>45688</v>
      </c>
      <c r="O177" s="92">
        <v>45777</v>
      </c>
      <c r="P177" s="11"/>
      <c r="Q177" s="8"/>
      <c r="R177" s="11"/>
      <c r="S177" s="11"/>
      <c r="T177" s="8"/>
      <c r="U177" s="8"/>
      <c r="V177" s="8"/>
      <c r="W177" s="8"/>
      <c r="X177" s="8"/>
      <c r="Y177" s="8"/>
      <c r="Z177" s="8"/>
      <c r="AA177" s="8"/>
      <c r="AB177" s="8"/>
      <c r="AC177" s="11"/>
      <c r="AD177" s="83">
        <f t="shared" si="1"/>
        <v>45777</v>
      </c>
      <c r="AE177" s="85" t="s">
        <v>1286</v>
      </c>
    </row>
    <row r="178" spans="2:31" x14ac:dyDescent="0.3">
      <c r="B178" s="79" t="s">
        <v>1764</v>
      </c>
      <c r="C178" s="8" t="s">
        <v>1765</v>
      </c>
      <c r="D178" s="19"/>
      <c r="E178" s="8"/>
      <c r="F178" s="8"/>
      <c r="G178" s="8"/>
      <c r="H178" s="10"/>
      <c r="I178" s="11"/>
      <c r="J178" s="11"/>
      <c r="K178" s="11"/>
      <c r="L178" s="80" t="s">
        <v>43</v>
      </c>
      <c r="M178" s="81">
        <v>45523</v>
      </c>
      <c r="N178" s="80">
        <v>45565</v>
      </c>
      <c r="O178" s="110"/>
      <c r="P178" s="80"/>
      <c r="Q178" s="82"/>
      <c r="R178" s="80"/>
      <c r="S178" s="80"/>
      <c r="T178" s="82"/>
      <c r="U178" s="82"/>
      <c r="V178" s="82"/>
      <c r="W178" s="82"/>
      <c r="X178" s="82"/>
      <c r="Y178" s="82"/>
      <c r="Z178" s="82"/>
      <c r="AA178" s="82"/>
      <c r="AB178" s="82"/>
      <c r="AC178" s="11"/>
      <c r="AD178" s="83">
        <f t="shared" si="1"/>
        <v>45565</v>
      </c>
      <c r="AE178" s="26" t="s">
        <v>1255</v>
      </c>
    </row>
    <row r="179" spans="2:31" x14ac:dyDescent="0.3">
      <c r="B179" s="107" t="s">
        <v>1766</v>
      </c>
      <c r="C179" s="8" t="s">
        <v>1767</v>
      </c>
      <c r="D179" s="151" t="s">
        <v>1768</v>
      </c>
      <c r="E179" s="108" t="s">
        <v>1769</v>
      </c>
      <c r="F179" s="108" t="s">
        <v>1328</v>
      </c>
      <c r="G179" s="108"/>
      <c r="H179" s="149" t="s">
        <v>1770</v>
      </c>
      <c r="I179" s="94" t="s">
        <v>1771</v>
      </c>
      <c r="J179" s="94" t="s">
        <v>73</v>
      </c>
      <c r="K179" s="94" t="s">
        <v>73</v>
      </c>
      <c r="L179" s="94" t="s">
        <v>43</v>
      </c>
      <c r="M179" s="109">
        <v>45558</v>
      </c>
      <c r="N179" s="94">
        <v>45657</v>
      </c>
      <c r="O179" s="104">
        <v>45688</v>
      </c>
      <c r="P179" s="94"/>
      <c r="Q179" s="108"/>
      <c r="R179" s="94"/>
      <c r="S179" s="94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94"/>
      <c r="AD179" s="83">
        <f t="shared" si="1"/>
        <v>45688</v>
      </c>
      <c r="AE179" s="85" t="s">
        <v>1286</v>
      </c>
    </row>
    <row r="180" spans="2:31" x14ac:dyDescent="0.3">
      <c r="B180" s="7" t="s">
        <v>1772</v>
      </c>
      <c r="C180" s="8" t="s">
        <v>1773</v>
      </c>
      <c r="D180" s="19" t="s">
        <v>1774</v>
      </c>
      <c r="E180" s="8" t="s">
        <v>383</v>
      </c>
      <c r="F180" s="8" t="s">
        <v>1412</v>
      </c>
      <c r="G180" s="8"/>
      <c r="H180" s="10" t="s">
        <v>1775</v>
      </c>
      <c r="I180" s="11" t="s">
        <v>1219</v>
      </c>
      <c r="J180" s="11" t="s">
        <v>42</v>
      </c>
      <c r="K180" s="11" t="s">
        <v>42</v>
      </c>
      <c r="L180" s="11" t="s">
        <v>43</v>
      </c>
      <c r="M180" s="84">
        <v>45465</v>
      </c>
      <c r="N180" s="11">
        <v>45565</v>
      </c>
      <c r="O180" s="92">
        <v>45657</v>
      </c>
      <c r="P180" s="11">
        <v>45747</v>
      </c>
      <c r="Q180" s="8"/>
      <c r="R180" s="11"/>
      <c r="S180" s="11"/>
      <c r="T180" s="8"/>
      <c r="U180" s="8"/>
      <c r="V180" s="8"/>
      <c r="W180" s="8"/>
      <c r="X180" s="8"/>
      <c r="Y180" s="8"/>
      <c r="Z180" s="8"/>
      <c r="AA180" s="8"/>
      <c r="AB180" s="8"/>
      <c r="AC180" s="11"/>
      <c r="AD180" s="83">
        <f t="shared" si="1"/>
        <v>45747</v>
      </c>
      <c r="AE180" s="85" t="s">
        <v>1286</v>
      </c>
    </row>
    <row r="181" spans="2:31" x14ac:dyDescent="0.3">
      <c r="B181" s="7" t="s">
        <v>1776</v>
      </c>
      <c r="C181" s="8" t="s">
        <v>1777</v>
      </c>
      <c r="D181" s="19" t="s">
        <v>1778</v>
      </c>
      <c r="E181" s="8" t="s">
        <v>701</v>
      </c>
      <c r="F181" s="8" t="s">
        <v>179</v>
      </c>
      <c r="G181" s="8"/>
      <c r="H181" s="10" t="s">
        <v>1779</v>
      </c>
      <c r="I181" s="11" t="s">
        <v>1254</v>
      </c>
      <c r="J181" s="11" t="s">
        <v>73</v>
      </c>
      <c r="K181" s="11" t="s">
        <v>73</v>
      </c>
      <c r="L181" s="11" t="s">
        <v>43</v>
      </c>
      <c r="M181" s="84">
        <v>45551</v>
      </c>
      <c r="N181" s="11">
        <v>45657</v>
      </c>
      <c r="O181" s="92"/>
      <c r="P181" s="11"/>
      <c r="Q181" s="8"/>
      <c r="R181" s="11"/>
      <c r="S181" s="11"/>
      <c r="T181" s="8"/>
      <c r="U181" s="8"/>
      <c r="V181" s="8"/>
      <c r="W181" s="8"/>
      <c r="X181" s="8"/>
      <c r="Y181" s="8"/>
      <c r="Z181" s="8"/>
      <c r="AA181" s="8"/>
      <c r="AB181" s="8"/>
      <c r="AC181" s="11"/>
      <c r="AD181" s="83">
        <f t="shared" si="1"/>
        <v>45657</v>
      </c>
      <c r="AE181" s="85" t="s">
        <v>1286</v>
      </c>
    </row>
    <row r="182" spans="2:31" x14ac:dyDescent="0.3">
      <c r="B182" s="7" t="s">
        <v>1780</v>
      </c>
      <c r="C182" s="8" t="s">
        <v>1781</v>
      </c>
      <c r="D182" s="19" t="s">
        <v>1782</v>
      </c>
      <c r="E182" s="8" t="s">
        <v>413</v>
      </c>
      <c r="F182" s="8" t="s">
        <v>1783</v>
      </c>
      <c r="G182" s="8"/>
      <c r="H182" s="10" t="s">
        <v>1784</v>
      </c>
      <c r="I182" s="11" t="s">
        <v>1785</v>
      </c>
      <c r="J182" s="11" t="s">
        <v>1548</v>
      </c>
      <c r="K182" s="11" t="s">
        <v>42</v>
      </c>
      <c r="L182" s="11" t="s">
        <v>43</v>
      </c>
      <c r="M182" s="84">
        <v>45033</v>
      </c>
      <c r="N182" s="11">
        <v>45124</v>
      </c>
      <c r="O182" s="11">
        <v>45230</v>
      </c>
      <c r="P182" s="11">
        <v>45260</v>
      </c>
      <c r="Q182" s="11">
        <v>45443</v>
      </c>
      <c r="R182" s="11">
        <v>45261</v>
      </c>
      <c r="S182" s="11">
        <v>45351</v>
      </c>
      <c r="T182" s="8"/>
      <c r="U182" s="8"/>
      <c r="V182" s="8"/>
      <c r="W182" s="8"/>
      <c r="X182" s="8"/>
      <c r="Y182" s="11"/>
      <c r="Z182" s="8"/>
      <c r="AA182" s="8"/>
      <c r="AB182" s="8"/>
      <c r="AC182" s="11"/>
      <c r="AD182" s="83">
        <f t="shared" si="1"/>
        <v>45443</v>
      </c>
      <c r="AE182" s="26" t="s">
        <v>1255</v>
      </c>
    </row>
    <row r="183" spans="2:31" x14ac:dyDescent="0.3">
      <c r="B183" s="7" t="s">
        <v>1786</v>
      </c>
      <c r="C183" s="8" t="s">
        <v>1787</v>
      </c>
      <c r="D183" s="19" t="s">
        <v>1788</v>
      </c>
      <c r="E183" s="8" t="s">
        <v>1789</v>
      </c>
      <c r="F183" s="8" t="s">
        <v>1790</v>
      </c>
      <c r="G183" s="8"/>
      <c r="H183" s="10" t="s">
        <v>1791</v>
      </c>
      <c r="I183" s="11" t="s">
        <v>1792</v>
      </c>
      <c r="J183" s="11" t="s">
        <v>73</v>
      </c>
      <c r="K183" s="11" t="s">
        <v>73</v>
      </c>
      <c r="L183" s="91" t="s">
        <v>43</v>
      </c>
      <c r="M183" s="84">
        <v>44866</v>
      </c>
      <c r="N183" s="11">
        <v>45046</v>
      </c>
      <c r="O183" s="94">
        <v>45138</v>
      </c>
      <c r="P183" s="11">
        <v>45322</v>
      </c>
      <c r="Q183" s="11">
        <v>45412</v>
      </c>
      <c r="R183" s="8"/>
      <c r="S183" s="8"/>
      <c r="T183" s="11">
        <v>45504</v>
      </c>
      <c r="U183" s="11">
        <v>45658</v>
      </c>
      <c r="V183" s="11">
        <v>45716</v>
      </c>
      <c r="W183" s="8"/>
      <c r="X183" s="8"/>
      <c r="Y183" s="8"/>
      <c r="Z183" s="8"/>
      <c r="AA183" s="8"/>
      <c r="AB183" s="8"/>
      <c r="AC183" s="11"/>
      <c r="AD183" s="83">
        <f t="shared" si="1"/>
        <v>45716</v>
      </c>
      <c r="AE183" s="26" t="s">
        <v>1255</v>
      </c>
    </row>
    <row r="184" spans="2:31" x14ac:dyDescent="0.3">
      <c r="B184" s="87" t="s">
        <v>1793</v>
      </c>
      <c r="C184" s="8" t="s">
        <v>1794</v>
      </c>
      <c r="D184" s="9" t="s">
        <v>1795</v>
      </c>
      <c r="E184" s="88" t="s">
        <v>1187</v>
      </c>
      <c r="F184" s="88" t="s">
        <v>39</v>
      </c>
      <c r="G184" s="88"/>
      <c r="H184" s="152" t="s">
        <v>1796</v>
      </c>
      <c r="I184" s="89" t="s">
        <v>1797</v>
      </c>
      <c r="J184" s="89" t="s">
        <v>1798</v>
      </c>
      <c r="K184" s="89" t="s">
        <v>42</v>
      </c>
      <c r="L184" s="89" t="s">
        <v>43</v>
      </c>
      <c r="M184" s="90">
        <v>45964</v>
      </c>
      <c r="N184" s="89">
        <v>46022</v>
      </c>
      <c r="O184" s="89"/>
      <c r="P184" s="89"/>
      <c r="Q184" s="89"/>
      <c r="R184" s="88"/>
      <c r="S184" s="88"/>
      <c r="T184" s="89"/>
      <c r="U184" s="89"/>
      <c r="V184" s="89"/>
      <c r="W184" s="88"/>
      <c r="X184" s="88"/>
      <c r="Y184" s="88"/>
      <c r="Z184" s="88"/>
      <c r="AA184" s="88"/>
      <c r="AB184" s="88"/>
      <c r="AC184" s="89"/>
      <c r="AD184" s="83">
        <f t="shared" si="1"/>
        <v>46022</v>
      </c>
      <c r="AE184" s="85" t="s">
        <v>1280</v>
      </c>
    </row>
    <row r="185" spans="2:31" x14ac:dyDescent="0.3">
      <c r="B185" s="7" t="s">
        <v>1799</v>
      </c>
      <c r="C185" s="8" t="s">
        <v>1800</v>
      </c>
      <c r="D185" s="19" t="s">
        <v>1801</v>
      </c>
      <c r="E185" s="8" t="s">
        <v>890</v>
      </c>
      <c r="F185" s="8" t="s">
        <v>1181</v>
      </c>
      <c r="G185" s="8"/>
      <c r="H185" s="10" t="s">
        <v>1802</v>
      </c>
      <c r="I185" s="11" t="s">
        <v>1803</v>
      </c>
      <c r="J185" s="11" t="s">
        <v>42</v>
      </c>
      <c r="K185" s="11" t="s">
        <v>42</v>
      </c>
      <c r="L185" s="11" t="s">
        <v>51</v>
      </c>
      <c r="M185" s="84">
        <v>44931</v>
      </c>
      <c r="N185" s="11">
        <v>45111</v>
      </c>
      <c r="O185" s="11">
        <v>45230</v>
      </c>
      <c r="P185" s="11">
        <v>45322</v>
      </c>
      <c r="Q185" s="11">
        <v>45596</v>
      </c>
      <c r="R185" s="11">
        <v>45323</v>
      </c>
      <c r="S185" s="11">
        <v>45412</v>
      </c>
      <c r="T185" s="8"/>
      <c r="U185" s="8"/>
      <c r="V185" s="8"/>
      <c r="W185" s="8"/>
      <c r="X185" s="8"/>
      <c r="Y185" s="8"/>
      <c r="Z185" s="8"/>
      <c r="AA185" s="8"/>
      <c r="AB185" s="8"/>
      <c r="AC185" s="11"/>
      <c r="AD185" s="83">
        <f t="shared" si="1"/>
        <v>45596</v>
      </c>
      <c r="AE185" s="26" t="s">
        <v>1255</v>
      </c>
    </row>
    <row r="186" spans="2:31" x14ac:dyDescent="0.3">
      <c r="B186" s="7" t="s">
        <v>1804</v>
      </c>
      <c r="C186" s="8" t="s">
        <v>1805</v>
      </c>
      <c r="D186" s="19" t="s">
        <v>1806</v>
      </c>
      <c r="E186" s="8" t="s">
        <v>108</v>
      </c>
      <c r="F186" s="8" t="s">
        <v>179</v>
      </c>
      <c r="G186" s="8"/>
      <c r="H186" s="10" t="s">
        <v>1807</v>
      </c>
      <c r="I186" s="11" t="s">
        <v>42</v>
      </c>
      <c r="J186" s="11" t="s">
        <v>42</v>
      </c>
      <c r="K186" s="11" t="s">
        <v>42</v>
      </c>
      <c r="L186" s="91" t="s">
        <v>43</v>
      </c>
      <c r="M186" s="84">
        <v>44986</v>
      </c>
      <c r="N186" s="11">
        <v>45169</v>
      </c>
      <c r="O186" s="11">
        <v>45291</v>
      </c>
      <c r="P186" s="11">
        <v>45473</v>
      </c>
      <c r="Q186" s="11">
        <v>45565</v>
      </c>
      <c r="R186" s="11">
        <v>45292</v>
      </c>
      <c r="S186" s="11">
        <v>45382</v>
      </c>
      <c r="T186" s="11">
        <v>45657</v>
      </c>
      <c r="U186" s="11">
        <v>45747</v>
      </c>
      <c r="V186" s="8"/>
      <c r="W186" s="8"/>
      <c r="X186" s="8"/>
      <c r="Y186" s="8"/>
      <c r="Z186" s="8"/>
      <c r="AA186" s="8"/>
      <c r="AB186" s="8"/>
      <c r="AC186" s="11"/>
      <c r="AD186" s="83">
        <f t="shared" si="1"/>
        <v>45747</v>
      </c>
      <c r="AE186" s="85" t="s">
        <v>1286</v>
      </c>
    </row>
    <row r="187" spans="2:31" x14ac:dyDescent="0.3">
      <c r="B187" s="7" t="s">
        <v>1808</v>
      </c>
      <c r="C187" s="8" t="s">
        <v>1809</v>
      </c>
      <c r="D187" s="19" t="s">
        <v>1810</v>
      </c>
      <c r="E187" s="8" t="s">
        <v>61</v>
      </c>
      <c r="F187" s="8" t="s">
        <v>1181</v>
      </c>
      <c r="G187" s="8"/>
      <c r="H187" s="10" t="s">
        <v>1811</v>
      </c>
      <c r="I187" s="11" t="s">
        <v>1812</v>
      </c>
      <c r="J187" s="11" t="s">
        <v>244</v>
      </c>
      <c r="K187" s="11" t="s">
        <v>1408</v>
      </c>
      <c r="L187" s="11" t="s">
        <v>43</v>
      </c>
      <c r="M187" s="84">
        <v>45688</v>
      </c>
      <c r="N187" s="11">
        <v>45777</v>
      </c>
      <c r="O187" s="11"/>
      <c r="P187" s="11"/>
      <c r="Q187" s="11"/>
      <c r="R187" s="11"/>
      <c r="S187" s="11"/>
      <c r="T187" s="11"/>
      <c r="U187" s="11"/>
      <c r="V187" s="8"/>
      <c r="W187" s="8"/>
      <c r="X187" s="8"/>
      <c r="Y187" s="8"/>
      <c r="Z187" s="8"/>
      <c r="AA187" s="8"/>
      <c r="AB187" s="8"/>
      <c r="AC187" s="11"/>
      <c r="AD187" s="83">
        <f t="shared" si="1"/>
        <v>45777</v>
      </c>
      <c r="AE187" s="85" t="s">
        <v>1286</v>
      </c>
    </row>
    <row r="188" spans="2:31" x14ac:dyDescent="0.3">
      <c r="B188" s="7" t="s">
        <v>1813</v>
      </c>
      <c r="C188" s="8" t="s">
        <v>1814</v>
      </c>
      <c r="D188" s="19" t="s">
        <v>1815</v>
      </c>
      <c r="E188" s="8" t="s">
        <v>1816</v>
      </c>
      <c r="F188" s="8" t="s">
        <v>310</v>
      </c>
      <c r="G188" s="8"/>
      <c r="H188" s="10" t="s">
        <v>1817</v>
      </c>
      <c r="I188" s="11" t="s">
        <v>1818</v>
      </c>
      <c r="J188" s="11" t="s">
        <v>1819</v>
      </c>
      <c r="K188" s="11" t="s">
        <v>73</v>
      </c>
      <c r="L188" s="11" t="s">
        <v>51</v>
      </c>
      <c r="M188" s="84">
        <v>45505</v>
      </c>
      <c r="N188" s="11">
        <v>45596</v>
      </c>
      <c r="O188" s="11">
        <v>45688</v>
      </c>
      <c r="P188" s="11">
        <v>45777</v>
      </c>
      <c r="Q188" s="11">
        <v>45869</v>
      </c>
      <c r="R188" s="15"/>
      <c r="S188" s="15"/>
      <c r="T188" s="8"/>
      <c r="U188" s="8"/>
      <c r="V188" s="8"/>
      <c r="W188" s="8"/>
      <c r="X188" s="8"/>
      <c r="Y188" s="8"/>
      <c r="Z188" s="8"/>
      <c r="AA188" s="8"/>
      <c r="AB188" s="8"/>
      <c r="AC188" s="11"/>
      <c r="AD188" s="83">
        <f t="shared" si="1"/>
        <v>45869</v>
      </c>
      <c r="AE188" s="85" t="s">
        <v>1255</v>
      </c>
    </row>
    <row r="189" spans="2:31" x14ac:dyDescent="0.3">
      <c r="B189" s="7" t="s">
        <v>1820</v>
      </c>
      <c r="C189" s="8" t="s">
        <v>1821</v>
      </c>
      <c r="D189" s="19" t="s">
        <v>1822</v>
      </c>
      <c r="E189" s="8" t="s">
        <v>542</v>
      </c>
      <c r="F189" s="8" t="s">
        <v>1539</v>
      </c>
      <c r="G189" s="8"/>
      <c r="H189" s="10" t="s">
        <v>1823</v>
      </c>
      <c r="I189" s="11" t="s">
        <v>1824</v>
      </c>
      <c r="J189" s="11" t="s">
        <v>73</v>
      </c>
      <c r="K189" s="11" t="s">
        <v>73</v>
      </c>
      <c r="L189" s="11" t="s">
        <v>51</v>
      </c>
      <c r="M189" s="84">
        <v>45336</v>
      </c>
      <c r="N189" s="11">
        <v>45518</v>
      </c>
      <c r="O189" s="11">
        <v>45688</v>
      </c>
      <c r="P189" s="8"/>
      <c r="Q189" s="8"/>
      <c r="R189" s="15"/>
      <c r="S189" s="15"/>
      <c r="T189" s="8"/>
      <c r="U189" s="8"/>
      <c r="V189" s="8"/>
      <c r="W189" s="8"/>
      <c r="X189" s="8"/>
      <c r="Y189" s="8"/>
      <c r="Z189" s="8"/>
      <c r="AA189" s="8"/>
      <c r="AB189" s="8"/>
      <c r="AC189" s="11"/>
      <c r="AD189" s="83">
        <f t="shared" si="1"/>
        <v>45688</v>
      </c>
      <c r="AE189" s="85" t="s">
        <v>1286</v>
      </c>
    </row>
    <row r="190" spans="2:31" x14ac:dyDescent="0.3">
      <c r="B190" s="7" t="s">
        <v>1825</v>
      </c>
      <c r="C190" s="8" t="s">
        <v>1826</v>
      </c>
      <c r="D190" s="19" t="s">
        <v>1827</v>
      </c>
      <c r="E190" s="8" t="s">
        <v>84</v>
      </c>
      <c r="F190" s="8" t="s">
        <v>48</v>
      </c>
      <c r="G190" s="8"/>
      <c r="H190" s="10" t="s">
        <v>1828</v>
      </c>
      <c r="I190" s="11" t="s">
        <v>1424</v>
      </c>
      <c r="J190" s="11" t="s">
        <v>1424</v>
      </c>
      <c r="K190" s="11" t="s">
        <v>901</v>
      </c>
      <c r="L190" s="11" t="s">
        <v>43</v>
      </c>
      <c r="M190" s="84">
        <v>45482</v>
      </c>
      <c r="N190" s="11">
        <v>45565</v>
      </c>
      <c r="O190" s="11">
        <v>45657</v>
      </c>
      <c r="P190" s="11">
        <v>45747</v>
      </c>
      <c r="Q190" s="11">
        <v>45838</v>
      </c>
      <c r="R190" s="15"/>
      <c r="S190" s="15"/>
      <c r="T190" s="8"/>
      <c r="U190" s="8"/>
      <c r="V190" s="8"/>
      <c r="W190" s="8"/>
      <c r="X190" s="8"/>
      <c r="Y190" s="8"/>
      <c r="Z190" s="8"/>
      <c r="AA190" s="8"/>
      <c r="AB190" s="8"/>
      <c r="AC190" s="11"/>
      <c r="AD190" s="83">
        <f t="shared" si="1"/>
        <v>45838</v>
      </c>
      <c r="AE190" s="85" t="s">
        <v>1286</v>
      </c>
    </row>
    <row r="191" spans="2:31" x14ac:dyDescent="0.3">
      <c r="B191" s="87" t="s">
        <v>676</v>
      </c>
      <c r="C191" s="8" t="s">
        <v>1829</v>
      </c>
      <c r="D191" s="9" t="s">
        <v>678</v>
      </c>
      <c r="E191" s="88" t="s">
        <v>1187</v>
      </c>
      <c r="F191" s="88" t="s">
        <v>39</v>
      </c>
      <c r="G191" s="88"/>
      <c r="H191" s="152" t="s">
        <v>679</v>
      </c>
      <c r="I191" s="89" t="s">
        <v>1448</v>
      </c>
      <c r="J191" s="89" t="s">
        <v>1448</v>
      </c>
      <c r="K191" s="89" t="s">
        <v>42</v>
      </c>
      <c r="L191" s="89" t="s">
        <v>43</v>
      </c>
      <c r="M191" s="90">
        <v>45966</v>
      </c>
      <c r="N191" s="89">
        <v>46022</v>
      </c>
      <c r="O191" s="89"/>
      <c r="P191" s="89"/>
      <c r="Q191" s="89"/>
      <c r="R191" s="111"/>
      <c r="S191" s="111"/>
      <c r="T191" s="89"/>
      <c r="U191" s="89"/>
      <c r="V191" s="88"/>
      <c r="W191" s="88"/>
      <c r="X191" s="88"/>
      <c r="Y191" s="88"/>
      <c r="Z191" s="88"/>
      <c r="AA191" s="88"/>
      <c r="AB191" s="88"/>
      <c r="AC191" s="89"/>
      <c r="AD191" s="83">
        <f t="shared" si="1"/>
        <v>46022</v>
      </c>
      <c r="AE191" s="85" t="s">
        <v>1280</v>
      </c>
    </row>
    <row r="192" spans="2:31" x14ac:dyDescent="0.3">
      <c r="B192" s="7" t="s">
        <v>1830</v>
      </c>
      <c r="C192" s="8" t="s">
        <v>1831</v>
      </c>
      <c r="D192" s="19" t="s">
        <v>1832</v>
      </c>
      <c r="E192" s="8" t="s">
        <v>383</v>
      </c>
      <c r="F192" s="8" t="s">
        <v>179</v>
      </c>
      <c r="G192" s="8"/>
      <c r="H192" s="10" t="s">
        <v>1833</v>
      </c>
      <c r="I192" s="11" t="s">
        <v>1834</v>
      </c>
      <c r="J192" s="11" t="s">
        <v>73</v>
      </c>
      <c r="K192" s="11" t="s">
        <v>73</v>
      </c>
      <c r="L192" s="11" t="s">
        <v>51</v>
      </c>
      <c r="M192" s="84">
        <v>44918</v>
      </c>
      <c r="N192" s="11">
        <v>44948</v>
      </c>
      <c r="O192" s="11">
        <v>45107</v>
      </c>
      <c r="P192" s="11">
        <v>45199</v>
      </c>
      <c r="Q192" s="11">
        <v>45291</v>
      </c>
      <c r="R192" s="11">
        <v>45292</v>
      </c>
      <c r="S192" s="11">
        <v>45382</v>
      </c>
      <c r="T192" s="11">
        <v>45473</v>
      </c>
      <c r="U192" s="11">
        <v>45565</v>
      </c>
      <c r="V192" s="11">
        <v>45657</v>
      </c>
      <c r="W192" s="11">
        <v>45716</v>
      </c>
      <c r="X192" s="8"/>
      <c r="Y192" s="8"/>
      <c r="Z192" s="8"/>
      <c r="AA192" s="8"/>
      <c r="AB192" s="8"/>
      <c r="AC192" s="11"/>
      <c r="AD192" s="83">
        <f t="shared" si="1"/>
        <v>45716</v>
      </c>
      <c r="AE192" s="26" t="s">
        <v>1255</v>
      </c>
    </row>
    <row r="193" spans="2:31" x14ac:dyDescent="0.3">
      <c r="B193" s="7" t="s">
        <v>1835</v>
      </c>
      <c r="C193" s="8" t="s">
        <v>1836</v>
      </c>
      <c r="D193" s="19" t="s">
        <v>1837</v>
      </c>
      <c r="E193" s="8" t="s">
        <v>574</v>
      </c>
      <c r="F193" s="8" t="s">
        <v>131</v>
      </c>
      <c r="G193" s="8"/>
      <c r="H193" s="10" t="s">
        <v>1838</v>
      </c>
      <c r="I193" s="11" t="s">
        <v>1243</v>
      </c>
      <c r="J193" s="11" t="s">
        <v>42</v>
      </c>
      <c r="K193" s="11" t="s">
        <v>42</v>
      </c>
      <c r="L193" s="11" t="s">
        <v>43</v>
      </c>
      <c r="M193" s="84">
        <v>45261</v>
      </c>
      <c r="N193" s="94">
        <v>45351</v>
      </c>
      <c r="O193" s="11">
        <v>45443</v>
      </c>
      <c r="P193" s="11"/>
      <c r="Q193" s="11"/>
      <c r="R193" s="15"/>
      <c r="S193" s="15"/>
      <c r="T193" s="8"/>
      <c r="U193" s="8"/>
      <c r="V193" s="8"/>
      <c r="W193" s="8"/>
      <c r="X193" s="8"/>
      <c r="Y193" s="8"/>
      <c r="Z193" s="8"/>
      <c r="AA193" s="8"/>
      <c r="AB193" s="8"/>
      <c r="AC193" s="11"/>
      <c r="AD193" s="83">
        <f t="shared" si="1"/>
        <v>45443</v>
      </c>
      <c r="AE193" s="26" t="s">
        <v>1255</v>
      </c>
    </row>
    <row r="194" spans="2:31" x14ac:dyDescent="0.3">
      <c r="B194" s="7" t="s">
        <v>1839</v>
      </c>
      <c r="C194" s="8" t="s">
        <v>1840</v>
      </c>
      <c r="D194" s="19" t="s">
        <v>1837</v>
      </c>
      <c r="E194" s="8" t="s">
        <v>1841</v>
      </c>
      <c r="F194" s="8" t="s">
        <v>131</v>
      </c>
      <c r="G194" s="8"/>
      <c r="H194" s="10" t="s">
        <v>1838</v>
      </c>
      <c r="I194" s="11" t="s">
        <v>1243</v>
      </c>
      <c r="J194" s="11" t="s">
        <v>42</v>
      </c>
      <c r="K194" s="11" t="s">
        <v>42</v>
      </c>
      <c r="L194" s="11" t="s">
        <v>43</v>
      </c>
      <c r="M194" s="84">
        <v>45447</v>
      </c>
      <c r="N194" s="11">
        <v>45626</v>
      </c>
      <c r="O194" s="11"/>
      <c r="P194" s="11"/>
      <c r="Q194" s="11"/>
      <c r="R194" s="11"/>
      <c r="S194" s="11"/>
      <c r="T194" s="11"/>
      <c r="U194" s="11"/>
      <c r="V194" s="8"/>
      <c r="W194" s="8"/>
      <c r="X194" s="8"/>
      <c r="Y194" s="8"/>
      <c r="Z194" s="8"/>
      <c r="AA194" s="8"/>
      <c r="AB194" s="8"/>
      <c r="AC194" s="11"/>
      <c r="AD194" s="83">
        <f t="shared" si="1"/>
        <v>45626</v>
      </c>
      <c r="AE194" s="26" t="s">
        <v>1255</v>
      </c>
    </row>
    <row r="195" spans="2:31" x14ac:dyDescent="0.3">
      <c r="B195" s="87" t="s">
        <v>1842</v>
      </c>
      <c r="C195" s="8" t="s">
        <v>1843</v>
      </c>
      <c r="D195" s="9" t="s">
        <v>1844</v>
      </c>
      <c r="E195" s="88" t="s">
        <v>84</v>
      </c>
      <c r="F195" s="88" t="s">
        <v>48</v>
      </c>
      <c r="G195" s="88"/>
      <c r="H195" s="145" t="s">
        <v>1845</v>
      </c>
      <c r="I195" s="89" t="s">
        <v>1235</v>
      </c>
      <c r="J195" s="89" t="s">
        <v>73</v>
      </c>
      <c r="K195" s="89" t="s">
        <v>1236</v>
      </c>
      <c r="L195" s="89" t="s">
        <v>43</v>
      </c>
      <c r="M195" s="90">
        <v>45811</v>
      </c>
      <c r="N195" s="89">
        <v>45900</v>
      </c>
      <c r="O195" s="89"/>
      <c r="P195" s="89"/>
      <c r="Q195" s="89"/>
      <c r="R195" s="89"/>
      <c r="S195" s="89"/>
      <c r="T195" s="89"/>
      <c r="U195" s="88"/>
      <c r="V195" s="88"/>
      <c r="W195" s="88"/>
      <c r="X195" s="88"/>
      <c r="Y195" s="88"/>
      <c r="Z195" s="88"/>
      <c r="AA195" s="88"/>
      <c r="AB195" s="88"/>
      <c r="AC195" s="89"/>
      <c r="AD195" s="83">
        <f t="shared" si="1"/>
        <v>45900</v>
      </c>
      <c r="AE195" s="85" t="s">
        <v>1286</v>
      </c>
    </row>
    <row r="196" spans="2:31" x14ac:dyDescent="0.3">
      <c r="B196" s="7" t="s">
        <v>1846</v>
      </c>
      <c r="C196" s="8" t="s">
        <v>1847</v>
      </c>
      <c r="D196" s="19" t="s">
        <v>1848</v>
      </c>
      <c r="E196" s="8" t="s">
        <v>1703</v>
      </c>
      <c r="F196" s="8" t="s">
        <v>179</v>
      </c>
      <c r="G196" s="8"/>
      <c r="H196" s="10" t="s">
        <v>1849</v>
      </c>
      <c r="I196" s="11" t="s">
        <v>42</v>
      </c>
      <c r="J196" s="11" t="s">
        <v>42</v>
      </c>
      <c r="K196" s="11" t="s">
        <v>42</v>
      </c>
      <c r="L196" s="11" t="s">
        <v>43</v>
      </c>
      <c r="M196" s="84">
        <v>45719</v>
      </c>
      <c r="N196" s="11">
        <v>45808</v>
      </c>
      <c r="O196" s="11"/>
      <c r="P196" s="11"/>
      <c r="Q196" s="11"/>
      <c r="R196" s="11"/>
      <c r="S196" s="11"/>
      <c r="T196" s="8"/>
      <c r="U196" s="8"/>
      <c r="V196" s="8"/>
      <c r="W196" s="8"/>
      <c r="X196" s="8"/>
      <c r="Y196" s="8"/>
      <c r="Z196" s="8"/>
      <c r="AA196" s="8"/>
      <c r="AB196" s="8"/>
      <c r="AC196" s="11"/>
      <c r="AD196" s="83">
        <f t="shared" si="1"/>
        <v>45808</v>
      </c>
      <c r="AE196" s="85" t="s">
        <v>1255</v>
      </c>
    </row>
    <row r="197" spans="2:31" x14ac:dyDescent="0.3">
      <c r="B197" s="7" t="s">
        <v>1850</v>
      </c>
      <c r="C197" s="8" t="s">
        <v>1851</v>
      </c>
      <c r="D197" s="19" t="s">
        <v>1852</v>
      </c>
      <c r="E197" s="8" t="s">
        <v>1853</v>
      </c>
      <c r="F197" s="8" t="s">
        <v>197</v>
      </c>
      <c r="G197" s="8"/>
      <c r="H197" s="10" t="s">
        <v>1854</v>
      </c>
      <c r="I197" s="11" t="s">
        <v>1414</v>
      </c>
      <c r="J197" s="11" t="s">
        <v>73</v>
      </c>
      <c r="K197" s="11" t="s">
        <v>73</v>
      </c>
      <c r="L197" s="11" t="s">
        <v>51</v>
      </c>
      <c r="M197" s="84">
        <v>45506</v>
      </c>
      <c r="N197" s="11">
        <v>45596</v>
      </c>
      <c r="O197" s="11">
        <v>45688</v>
      </c>
      <c r="P197" s="11">
        <v>45777</v>
      </c>
      <c r="Q197" s="8"/>
      <c r="R197" s="11"/>
      <c r="S197" s="11"/>
      <c r="T197" s="8"/>
      <c r="U197" s="8"/>
      <c r="V197" s="8"/>
      <c r="W197" s="8"/>
      <c r="X197" s="8"/>
      <c r="Y197" s="8"/>
      <c r="Z197" s="8"/>
      <c r="AA197" s="8"/>
      <c r="AB197" s="8"/>
      <c r="AC197" s="11"/>
      <c r="AD197" s="83">
        <f t="shared" si="1"/>
        <v>45777</v>
      </c>
      <c r="AE197" s="85" t="s">
        <v>1286</v>
      </c>
    </row>
    <row r="198" spans="2:31" x14ac:dyDescent="0.3">
      <c r="B198" s="7" t="s">
        <v>1855</v>
      </c>
      <c r="C198" s="8" t="s">
        <v>1856</v>
      </c>
      <c r="D198" s="19" t="s">
        <v>1857</v>
      </c>
      <c r="E198" s="8" t="s">
        <v>61</v>
      </c>
      <c r="F198" s="8" t="s">
        <v>1181</v>
      </c>
      <c r="G198" s="8"/>
      <c r="H198" s="10" t="s">
        <v>1858</v>
      </c>
      <c r="I198" s="11" t="s">
        <v>1859</v>
      </c>
      <c r="J198" s="11" t="s">
        <v>901</v>
      </c>
      <c r="K198" s="11" t="s">
        <v>901</v>
      </c>
      <c r="L198" s="11" t="s">
        <v>43</v>
      </c>
      <c r="M198" s="84">
        <v>45583</v>
      </c>
      <c r="N198" s="11">
        <v>45657</v>
      </c>
      <c r="O198" s="11">
        <v>45688</v>
      </c>
      <c r="P198" s="11">
        <v>45747</v>
      </c>
      <c r="Q198" s="11">
        <v>45777</v>
      </c>
      <c r="R198" s="11"/>
      <c r="S198" s="11"/>
      <c r="T198" s="8"/>
      <c r="U198" s="8"/>
      <c r="V198" s="8"/>
      <c r="W198" s="8"/>
      <c r="X198" s="8"/>
      <c r="Y198" s="8"/>
      <c r="Z198" s="8"/>
      <c r="AA198" s="8"/>
      <c r="AB198" s="8"/>
      <c r="AC198" s="11"/>
      <c r="AD198" s="83">
        <f t="shared" si="1"/>
        <v>45777</v>
      </c>
      <c r="AE198" s="85" t="s">
        <v>1286</v>
      </c>
    </row>
    <row r="199" spans="2:31" x14ac:dyDescent="0.3">
      <c r="B199" s="7" t="s">
        <v>1860</v>
      </c>
      <c r="C199" s="8" t="s">
        <v>1861</v>
      </c>
      <c r="D199" s="19" t="s">
        <v>1862</v>
      </c>
      <c r="E199" s="8" t="s">
        <v>460</v>
      </c>
      <c r="F199" s="8" t="s">
        <v>1328</v>
      </c>
      <c r="G199" s="8"/>
      <c r="H199" s="10" t="s">
        <v>1863</v>
      </c>
      <c r="I199" s="11" t="s">
        <v>1589</v>
      </c>
      <c r="J199" s="11" t="s">
        <v>1589</v>
      </c>
      <c r="K199" s="11" t="s">
        <v>1590</v>
      </c>
      <c r="L199" s="11" t="s">
        <v>51</v>
      </c>
      <c r="M199" s="84">
        <v>45383</v>
      </c>
      <c r="N199" s="11">
        <v>45473</v>
      </c>
      <c r="O199" s="11">
        <v>45565</v>
      </c>
      <c r="P199" s="11">
        <v>45657</v>
      </c>
      <c r="Q199" s="11"/>
      <c r="R199" s="15"/>
      <c r="S199" s="15"/>
      <c r="T199" s="8"/>
      <c r="U199" s="8"/>
      <c r="V199" s="8"/>
      <c r="W199" s="8"/>
      <c r="X199" s="8"/>
      <c r="Y199" s="8"/>
      <c r="Z199" s="8"/>
      <c r="AA199" s="8"/>
      <c r="AB199" s="8"/>
      <c r="AC199" s="11"/>
      <c r="AD199" s="83">
        <f t="shared" si="1"/>
        <v>45657</v>
      </c>
      <c r="AE199" s="26" t="s">
        <v>1255</v>
      </c>
    </row>
    <row r="200" spans="2:31" x14ac:dyDescent="0.3">
      <c r="B200" s="7" t="s">
        <v>1864</v>
      </c>
      <c r="C200" s="8" t="s">
        <v>1865</v>
      </c>
      <c r="D200" s="19" t="s">
        <v>1866</v>
      </c>
      <c r="E200" s="8" t="s">
        <v>357</v>
      </c>
      <c r="F200" s="8" t="s">
        <v>197</v>
      </c>
      <c r="G200" s="8" t="s">
        <v>885</v>
      </c>
      <c r="H200" s="10" t="s">
        <v>1867</v>
      </c>
      <c r="I200" s="11" t="s">
        <v>1868</v>
      </c>
      <c r="J200" s="11" t="s">
        <v>73</v>
      </c>
      <c r="K200" s="11" t="s">
        <v>73</v>
      </c>
      <c r="L200" s="11" t="s">
        <v>51</v>
      </c>
      <c r="M200" s="84">
        <v>44945</v>
      </c>
      <c r="N200" s="11">
        <v>45095</v>
      </c>
      <c r="O200" s="11">
        <v>45199</v>
      </c>
      <c r="P200" s="11">
        <v>45291</v>
      </c>
      <c r="Q200" s="11">
        <v>45473</v>
      </c>
      <c r="R200" s="11">
        <v>45292</v>
      </c>
      <c r="S200" s="11">
        <v>45382</v>
      </c>
      <c r="T200" s="11">
        <v>45504</v>
      </c>
      <c r="U200" s="11">
        <v>45596</v>
      </c>
      <c r="V200" s="8"/>
      <c r="W200" s="8"/>
      <c r="X200" s="8"/>
      <c r="Y200" s="11"/>
      <c r="Z200" s="8"/>
      <c r="AA200" s="8"/>
      <c r="AB200" s="8"/>
      <c r="AC200" s="11"/>
      <c r="AD200" s="83">
        <f t="shared" si="1"/>
        <v>45596</v>
      </c>
      <c r="AE200" s="26" t="s">
        <v>1255</v>
      </c>
    </row>
    <row r="201" spans="2:31" x14ac:dyDescent="0.3">
      <c r="B201" s="107" t="s">
        <v>1869</v>
      </c>
      <c r="C201" s="8" t="s">
        <v>1870</v>
      </c>
      <c r="D201" s="19" t="s">
        <v>1871</v>
      </c>
      <c r="E201" s="8" t="s">
        <v>1872</v>
      </c>
      <c r="F201" s="8"/>
      <c r="G201" s="8"/>
      <c r="H201" s="10" t="s">
        <v>1873</v>
      </c>
      <c r="I201" s="11" t="s">
        <v>409</v>
      </c>
      <c r="J201" s="11" t="s">
        <v>73</v>
      </c>
      <c r="K201" s="11" t="s">
        <v>73</v>
      </c>
      <c r="L201" s="11" t="s">
        <v>51</v>
      </c>
      <c r="M201" s="109">
        <v>45357</v>
      </c>
      <c r="N201" s="11">
        <v>45535</v>
      </c>
      <c r="O201" s="11"/>
      <c r="P201" s="8"/>
      <c r="Q201" s="8"/>
      <c r="R201" s="15"/>
      <c r="S201" s="15"/>
      <c r="T201" s="8"/>
      <c r="U201" s="8"/>
      <c r="V201" s="8"/>
      <c r="W201" s="8"/>
      <c r="X201" s="8"/>
      <c r="Y201" s="8"/>
      <c r="Z201" s="8"/>
      <c r="AA201" s="8"/>
      <c r="AB201" s="8"/>
      <c r="AC201" s="11"/>
      <c r="AD201" s="83">
        <f t="shared" si="1"/>
        <v>45535</v>
      </c>
      <c r="AE201" s="26" t="s">
        <v>1255</v>
      </c>
    </row>
    <row r="202" spans="2:31" x14ac:dyDescent="0.3">
      <c r="B202" s="107" t="s">
        <v>1874</v>
      </c>
      <c r="C202" s="8" t="s">
        <v>1875</v>
      </c>
      <c r="D202" s="19" t="s">
        <v>1876</v>
      </c>
      <c r="E202" s="8" t="s">
        <v>1877</v>
      </c>
      <c r="F202" s="8" t="s">
        <v>131</v>
      </c>
      <c r="G202" s="8"/>
      <c r="H202" s="10" t="s">
        <v>1878</v>
      </c>
      <c r="I202" s="11" t="s">
        <v>1219</v>
      </c>
      <c r="J202" s="11" t="s">
        <v>42</v>
      </c>
      <c r="K202" s="11" t="s">
        <v>42</v>
      </c>
      <c r="L202" s="11" t="s">
        <v>51</v>
      </c>
      <c r="M202" s="109">
        <v>45426</v>
      </c>
      <c r="N202" s="11">
        <v>45535</v>
      </c>
      <c r="O202" s="11">
        <v>45626</v>
      </c>
      <c r="P202" s="11">
        <v>45657</v>
      </c>
      <c r="Q202" s="8"/>
      <c r="R202" s="15"/>
      <c r="S202" s="15"/>
      <c r="T202" s="8"/>
      <c r="U202" s="8"/>
      <c r="V202" s="8"/>
      <c r="W202" s="8"/>
      <c r="X202" s="8"/>
      <c r="Y202" s="8"/>
      <c r="Z202" s="8"/>
      <c r="AA202" s="8"/>
      <c r="AB202" s="8"/>
      <c r="AC202" s="11"/>
      <c r="AD202" s="83">
        <f t="shared" si="1"/>
        <v>45657</v>
      </c>
      <c r="AE202" s="26" t="s">
        <v>1255</v>
      </c>
    </row>
    <row r="203" spans="2:31" x14ac:dyDescent="0.3">
      <c r="B203" s="7" t="s">
        <v>1879</v>
      </c>
      <c r="C203" s="8" t="s">
        <v>1880</v>
      </c>
      <c r="D203" s="19" t="s">
        <v>1881</v>
      </c>
      <c r="E203" s="8" t="s">
        <v>1882</v>
      </c>
      <c r="F203" s="8" t="s">
        <v>1401</v>
      </c>
      <c r="G203" s="8"/>
      <c r="H203" s="10" t="s">
        <v>1883</v>
      </c>
      <c r="I203" s="11" t="s">
        <v>186</v>
      </c>
      <c r="J203" s="11" t="s">
        <v>42</v>
      </c>
      <c r="K203" s="11" t="s">
        <v>42</v>
      </c>
      <c r="L203" s="11" t="s">
        <v>51</v>
      </c>
      <c r="M203" s="84">
        <v>44932</v>
      </c>
      <c r="N203" s="11">
        <v>45199</v>
      </c>
      <c r="O203" s="11">
        <v>45291</v>
      </c>
      <c r="P203" s="11">
        <v>45473</v>
      </c>
      <c r="Q203" s="11">
        <v>45565</v>
      </c>
      <c r="R203" s="11">
        <v>45292</v>
      </c>
      <c r="S203" s="11">
        <v>45382</v>
      </c>
      <c r="T203" s="11">
        <v>45657</v>
      </c>
      <c r="U203" s="8"/>
      <c r="V203" s="8"/>
      <c r="W203" s="8"/>
      <c r="X203" s="8"/>
      <c r="Y203" s="8"/>
      <c r="Z203" s="8"/>
      <c r="AA203" s="8"/>
      <c r="AB203" s="8"/>
      <c r="AC203" s="11"/>
      <c r="AD203" s="83">
        <f t="shared" si="1"/>
        <v>45657</v>
      </c>
      <c r="AE203" s="26" t="s">
        <v>1255</v>
      </c>
    </row>
    <row r="204" spans="2:31" x14ac:dyDescent="0.3">
      <c r="B204" s="7" t="s">
        <v>1884</v>
      </c>
      <c r="C204" s="8" t="s">
        <v>1885</v>
      </c>
      <c r="D204" s="19" t="s">
        <v>1886</v>
      </c>
      <c r="E204" s="8" t="s">
        <v>1887</v>
      </c>
      <c r="F204" s="8" t="s">
        <v>48</v>
      </c>
      <c r="G204" s="8"/>
      <c r="H204" s="10" t="s">
        <v>1888</v>
      </c>
      <c r="I204" s="11" t="s">
        <v>901</v>
      </c>
      <c r="J204" s="11" t="s">
        <v>901</v>
      </c>
      <c r="K204" s="11" t="s">
        <v>901</v>
      </c>
      <c r="L204" s="11" t="s">
        <v>51</v>
      </c>
      <c r="M204" s="84">
        <v>45315</v>
      </c>
      <c r="N204" s="11">
        <v>45412</v>
      </c>
      <c r="O204" s="11">
        <v>45504</v>
      </c>
      <c r="P204" s="11">
        <v>45596</v>
      </c>
      <c r="Q204" s="8"/>
      <c r="R204" s="15"/>
      <c r="S204" s="15"/>
      <c r="T204" s="8"/>
      <c r="U204" s="8"/>
      <c r="V204" s="8"/>
      <c r="W204" s="8"/>
      <c r="X204" s="8"/>
      <c r="Y204" s="8"/>
      <c r="Z204" s="8"/>
      <c r="AA204" s="8"/>
      <c r="AB204" s="8"/>
      <c r="AC204" s="11"/>
      <c r="AD204" s="83">
        <f t="shared" si="1"/>
        <v>45596</v>
      </c>
      <c r="AE204" s="85" t="s">
        <v>1255</v>
      </c>
    </row>
    <row r="205" spans="2:31" x14ac:dyDescent="0.3">
      <c r="B205" s="7" t="s">
        <v>1889</v>
      </c>
      <c r="C205" s="8" t="s">
        <v>1890</v>
      </c>
      <c r="D205" s="19" t="s">
        <v>1891</v>
      </c>
      <c r="E205" s="8" t="s">
        <v>1892</v>
      </c>
      <c r="F205" s="8" t="s">
        <v>131</v>
      </c>
      <c r="G205" s="8"/>
      <c r="H205" s="10" t="s">
        <v>1893</v>
      </c>
      <c r="I205" s="11" t="s">
        <v>1894</v>
      </c>
      <c r="J205" s="11" t="s">
        <v>73</v>
      </c>
      <c r="K205" s="11" t="s">
        <v>73</v>
      </c>
      <c r="L205" s="11" t="s">
        <v>51</v>
      </c>
      <c r="M205" s="84">
        <v>45155</v>
      </c>
      <c r="N205" s="11">
        <v>45260</v>
      </c>
      <c r="O205" s="11">
        <v>45443</v>
      </c>
      <c r="P205" s="11">
        <v>45473</v>
      </c>
      <c r="Q205" s="8"/>
      <c r="R205" s="11">
        <v>45261</v>
      </c>
      <c r="S205" s="11">
        <v>45351</v>
      </c>
      <c r="T205" s="8"/>
      <c r="U205" s="8"/>
      <c r="V205" s="8"/>
      <c r="W205" s="8"/>
      <c r="X205" s="8"/>
      <c r="Y205" s="8"/>
      <c r="Z205" s="8"/>
      <c r="AA205" s="8"/>
      <c r="AB205" s="8"/>
      <c r="AC205" s="11"/>
      <c r="AD205" s="83">
        <f t="shared" si="1"/>
        <v>45473</v>
      </c>
      <c r="AE205" s="26" t="s">
        <v>1255</v>
      </c>
    </row>
    <row r="206" spans="2:31" x14ac:dyDescent="0.3">
      <c r="B206" s="87" t="s">
        <v>791</v>
      </c>
      <c r="C206" s="8" t="s">
        <v>1895</v>
      </c>
      <c r="D206" s="9" t="s">
        <v>793</v>
      </c>
      <c r="E206" s="88" t="s">
        <v>61</v>
      </c>
      <c r="F206" s="88" t="s">
        <v>1181</v>
      </c>
      <c r="G206" s="88"/>
      <c r="H206" s="152" t="s">
        <v>794</v>
      </c>
      <c r="I206" s="89" t="s">
        <v>42</v>
      </c>
      <c r="J206" s="89" t="s">
        <v>42</v>
      </c>
      <c r="K206" s="89" t="s">
        <v>42</v>
      </c>
      <c r="L206" s="89" t="s">
        <v>43</v>
      </c>
      <c r="M206" s="90">
        <v>45968</v>
      </c>
      <c r="N206" s="89">
        <v>46022</v>
      </c>
      <c r="O206" s="89"/>
      <c r="P206" s="89"/>
      <c r="Q206" s="88"/>
      <c r="R206" s="89"/>
      <c r="S206" s="89"/>
      <c r="T206" s="88"/>
      <c r="U206" s="88"/>
      <c r="V206" s="88"/>
      <c r="W206" s="88"/>
      <c r="X206" s="88"/>
      <c r="Y206" s="88"/>
      <c r="Z206" s="88"/>
      <c r="AA206" s="88"/>
      <c r="AB206" s="88"/>
      <c r="AC206" s="89"/>
      <c r="AD206" s="83">
        <f t="shared" si="1"/>
        <v>46022</v>
      </c>
      <c r="AE206" s="85" t="s">
        <v>1280</v>
      </c>
    </row>
    <row r="207" spans="2:31" x14ac:dyDescent="0.3">
      <c r="B207" s="87" t="s">
        <v>1896</v>
      </c>
      <c r="C207" s="8" t="s">
        <v>1897</v>
      </c>
      <c r="D207" s="9" t="s">
        <v>1898</v>
      </c>
      <c r="E207" s="88" t="s">
        <v>1703</v>
      </c>
      <c r="F207" s="88" t="s">
        <v>179</v>
      </c>
      <c r="G207" s="88"/>
      <c r="H207" s="145" t="s">
        <v>1899</v>
      </c>
      <c r="I207" s="89" t="s">
        <v>1243</v>
      </c>
      <c r="J207" s="89" t="s">
        <v>42</v>
      </c>
      <c r="K207" s="89" t="s">
        <v>42</v>
      </c>
      <c r="L207" s="89" t="s">
        <v>43</v>
      </c>
      <c r="M207" s="90">
        <v>45748</v>
      </c>
      <c r="N207" s="89">
        <v>45838</v>
      </c>
      <c r="O207" s="89"/>
      <c r="P207" s="89"/>
      <c r="Q207" s="88"/>
      <c r="R207" s="89"/>
      <c r="S207" s="89"/>
      <c r="T207" s="88"/>
      <c r="U207" s="88"/>
      <c r="V207" s="88"/>
      <c r="W207" s="88"/>
      <c r="X207" s="88"/>
      <c r="Y207" s="88"/>
      <c r="Z207" s="88"/>
      <c r="AA207" s="88"/>
      <c r="AB207" s="88"/>
      <c r="AC207" s="89"/>
      <c r="AD207" s="83">
        <f t="shared" ref="AD207:AD255" si="2">+MAX(M207:AC207)</f>
        <v>45838</v>
      </c>
      <c r="AE207" s="26" t="s">
        <v>1255</v>
      </c>
    </row>
    <row r="208" spans="2:31" x14ac:dyDescent="0.3">
      <c r="B208" s="7" t="s">
        <v>1900</v>
      </c>
      <c r="C208" s="8" t="s">
        <v>1901</v>
      </c>
      <c r="D208" s="19" t="s">
        <v>1902</v>
      </c>
      <c r="E208" s="8" t="s">
        <v>61</v>
      </c>
      <c r="F208" s="8" t="s">
        <v>1181</v>
      </c>
      <c r="G208" s="8"/>
      <c r="H208" s="10" t="s">
        <v>1903</v>
      </c>
      <c r="I208" s="11" t="s">
        <v>73</v>
      </c>
      <c r="J208" s="11" t="s">
        <v>73</v>
      </c>
      <c r="K208" s="11" t="s">
        <v>73</v>
      </c>
      <c r="L208" s="11" t="s">
        <v>43</v>
      </c>
      <c r="M208" s="84">
        <v>45373</v>
      </c>
      <c r="N208" s="11">
        <v>45443</v>
      </c>
      <c r="O208" s="11"/>
      <c r="P208" s="8"/>
      <c r="Q208" s="8"/>
      <c r="R208" s="15"/>
      <c r="S208" s="15"/>
      <c r="T208" s="8"/>
      <c r="U208" s="8"/>
      <c r="V208" s="8"/>
      <c r="W208" s="8"/>
      <c r="X208" s="8"/>
      <c r="Y208" s="8"/>
      <c r="Z208" s="8"/>
      <c r="AA208" s="8"/>
      <c r="AB208" s="8"/>
      <c r="AC208" s="11"/>
      <c r="AD208" s="83">
        <f t="shared" si="2"/>
        <v>45443</v>
      </c>
      <c r="AE208" s="26" t="s">
        <v>1255</v>
      </c>
    </row>
    <row r="209" spans="2:31" x14ac:dyDescent="0.3">
      <c r="B209" s="7" t="s">
        <v>1904</v>
      </c>
      <c r="C209" s="8" t="s">
        <v>1905</v>
      </c>
      <c r="D209" s="19" t="s">
        <v>1906</v>
      </c>
      <c r="E209" s="8" t="s">
        <v>1130</v>
      </c>
      <c r="F209" s="8" t="s">
        <v>1907</v>
      </c>
      <c r="G209" s="8"/>
      <c r="H209" s="10" t="s">
        <v>1908</v>
      </c>
      <c r="I209" s="11" t="s">
        <v>1273</v>
      </c>
      <c r="J209" s="11" t="s">
        <v>73</v>
      </c>
      <c r="K209" s="11" t="s">
        <v>73</v>
      </c>
      <c r="L209" s="11" t="s">
        <v>51</v>
      </c>
      <c r="M209" s="84">
        <v>45096</v>
      </c>
      <c r="N209" s="11">
        <v>45199</v>
      </c>
      <c r="O209" s="11">
        <v>45291</v>
      </c>
      <c r="P209" s="11">
        <v>45473</v>
      </c>
      <c r="Q209" s="8"/>
      <c r="R209" s="11">
        <v>45292</v>
      </c>
      <c r="S209" s="11">
        <v>45382</v>
      </c>
      <c r="T209" s="8"/>
      <c r="U209" s="8"/>
      <c r="V209" s="8"/>
      <c r="W209" s="8"/>
      <c r="X209" s="8"/>
      <c r="Y209" s="8"/>
      <c r="Z209" s="8"/>
      <c r="AA209" s="8"/>
      <c r="AB209" s="8"/>
      <c r="AC209" s="11"/>
      <c r="AD209" s="83">
        <f t="shared" si="2"/>
        <v>45473</v>
      </c>
      <c r="AE209" s="26" t="s">
        <v>1255</v>
      </c>
    </row>
    <row r="210" spans="2:31" x14ac:dyDescent="0.3">
      <c r="B210" s="7" t="s">
        <v>1909</v>
      </c>
      <c r="C210" s="8" t="s">
        <v>1910</v>
      </c>
      <c r="D210" s="19" t="s">
        <v>1911</v>
      </c>
      <c r="E210" s="8" t="s">
        <v>61</v>
      </c>
      <c r="F210" s="8" t="s">
        <v>1181</v>
      </c>
      <c r="G210" s="8"/>
      <c r="H210" s="10" t="s">
        <v>1912</v>
      </c>
      <c r="I210" s="11" t="s">
        <v>1913</v>
      </c>
      <c r="J210" s="11" t="s">
        <v>1914</v>
      </c>
      <c r="K210" s="11" t="s">
        <v>1914</v>
      </c>
      <c r="L210" s="11" t="s">
        <v>43</v>
      </c>
      <c r="M210" s="84">
        <v>45370</v>
      </c>
      <c r="N210" s="11">
        <v>45473</v>
      </c>
      <c r="O210" s="11">
        <v>45565</v>
      </c>
      <c r="P210" s="11">
        <v>45657</v>
      </c>
      <c r="Q210" s="11">
        <v>45747</v>
      </c>
      <c r="R210" s="11"/>
      <c r="S210" s="11"/>
      <c r="T210" s="8"/>
      <c r="U210" s="8"/>
      <c r="V210" s="8"/>
      <c r="W210" s="8"/>
      <c r="X210" s="8"/>
      <c r="Y210" s="8"/>
      <c r="Z210" s="8"/>
      <c r="AA210" s="8"/>
      <c r="AB210" s="8"/>
      <c r="AC210" s="11"/>
      <c r="AD210" s="83">
        <f t="shared" si="2"/>
        <v>45747</v>
      </c>
      <c r="AE210" s="85" t="s">
        <v>1286</v>
      </c>
    </row>
    <row r="211" spans="2:31" x14ac:dyDescent="0.3">
      <c r="B211" s="7" t="s">
        <v>1915</v>
      </c>
      <c r="C211" s="8" t="s">
        <v>1916</v>
      </c>
      <c r="D211" s="19" t="s">
        <v>1917</v>
      </c>
      <c r="E211" s="8" t="s">
        <v>84</v>
      </c>
      <c r="F211" s="8" t="s">
        <v>48</v>
      </c>
      <c r="G211" s="8"/>
      <c r="H211" s="10" t="s">
        <v>1918</v>
      </c>
      <c r="I211" s="11" t="s">
        <v>1240</v>
      </c>
      <c r="J211" s="11" t="s">
        <v>42</v>
      </c>
      <c r="K211" s="11" t="s">
        <v>42</v>
      </c>
      <c r="L211" s="91" t="s">
        <v>51</v>
      </c>
      <c r="M211" s="84">
        <v>45139</v>
      </c>
      <c r="N211" s="11">
        <v>45230</v>
      </c>
      <c r="O211" s="11">
        <v>45260</v>
      </c>
      <c r="P211" s="11">
        <v>45443</v>
      </c>
      <c r="Q211" s="11">
        <v>45535</v>
      </c>
      <c r="R211" s="11">
        <v>45261</v>
      </c>
      <c r="S211" s="11">
        <v>45351</v>
      </c>
      <c r="T211" s="11">
        <v>45626</v>
      </c>
      <c r="U211" s="11">
        <v>45657</v>
      </c>
      <c r="V211" s="11">
        <v>45688</v>
      </c>
      <c r="W211" s="8"/>
      <c r="X211" s="8"/>
      <c r="Y211" s="8"/>
      <c r="Z211" s="8"/>
      <c r="AA211" s="8"/>
      <c r="AB211" s="8"/>
      <c r="AC211" s="11"/>
      <c r="AD211" s="83">
        <f t="shared" si="2"/>
        <v>45688</v>
      </c>
      <c r="AE211" s="26" t="s">
        <v>1255</v>
      </c>
    </row>
    <row r="212" spans="2:31" x14ac:dyDescent="0.3">
      <c r="B212" s="7" t="s">
        <v>1919</v>
      </c>
      <c r="C212" s="8" t="s">
        <v>1920</v>
      </c>
      <c r="D212" s="19" t="s">
        <v>1921</v>
      </c>
      <c r="E212" s="8" t="s">
        <v>1922</v>
      </c>
      <c r="F212" s="8" t="s">
        <v>197</v>
      </c>
      <c r="G212" s="8"/>
      <c r="H212" s="10" t="s">
        <v>1923</v>
      </c>
      <c r="I212" s="11" t="s">
        <v>1231</v>
      </c>
      <c r="J212" s="11" t="s">
        <v>1214</v>
      </c>
      <c r="K212" s="11" t="s">
        <v>42</v>
      </c>
      <c r="L212" s="11" t="s">
        <v>43</v>
      </c>
      <c r="M212" s="84">
        <v>45108</v>
      </c>
      <c r="N212" s="11">
        <v>45199</v>
      </c>
      <c r="O212" s="11">
        <v>45291</v>
      </c>
      <c r="P212" s="11">
        <v>45473</v>
      </c>
      <c r="Q212" s="11">
        <v>45565</v>
      </c>
      <c r="R212" s="11">
        <v>45292</v>
      </c>
      <c r="S212" s="11">
        <v>45382</v>
      </c>
      <c r="T212" s="11">
        <v>45657</v>
      </c>
      <c r="U212" s="11">
        <v>45688</v>
      </c>
      <c r="V212" s="11">
        <v>45716</v>
      </c>
      <c r="W212" s="11">
        <v>45777</v>
      </c>
      <c r="X212" s="8"/>
      <c r="Y212" s="8"/>
      <c r="Z212" s="8"/>
      <c r="AA212" s="8"/>
      <c r="AB212" s="8"/>
      <c r="AC212" s="11"/>
      <c r="AD212" s="83">
        <f t="shared" si="2"/>
        <v>45777</v>
      </c>
      <c r="AE212" s="85" t="s">
        <v>1286</v>
      </c>
    </row>
    <row r="213" spans="2:31" x14ac:dyDescent="0.3">
      <c r="B213" s="7" t="s">
        <v>1924</v>
      </c>
      <c r="C213" s="8" t="s">
        <v>1925</v>
      </c>
      <c r="D213" s="19" t="s">
        <v>1926</v>
      </c>
      <c r="E213" s="8" t="s">
        <v>196</v>
      </c>
      <c r="F213" s="8" t="s">
        <v>197</v>
      </c>
      <c r="G213" s="8"/>
      <c r="H213" s="10" t="s">
        <v>1927</v>
      </c>
      <c r="I213" s="11" t="s">
        <v>1928</v>
      </c>
      <c r="J213" s="11" t="s">
        <v>1243</v>
      </c>
      <c r="K213" s="11" t="s">
        <v>42</v>
      </c>
      <c r="L213" s="11" t="s">
        <v>43</v>
      </c>
      <c r="M213" s="84">
        <v>45398</v>
      </c>
      <c r="N213" s="11">
        <v>45473</v>
      </c>
      <c r="O213" s="11">
        <v>45565</v>
      </c>
      <c r="P213" s="11">
        <v>45657</v>
      </c>
      <c r="Q213" s="11">
        <v>45747</v>
      </c>
      <c r="R213" s="15"/>
      <c r="S213" s="15"/>
      <c r="T213" s="11">
        <v>45808</v>
      </c>
      <c r="U213" s="11">
        <v>45838</v>
      </c>
      <c r="V213" s="8"/>
      <c r="W213" s="8"/>
      <c r="X213" s="8"/>
      <c r="Y213" s="8"/>
      <c r="Z213" s="8"/>
      <c r="AA213" s="8"/>
      <c r="AB213" s="8"/>
      <c r="AC213" s="11"/>
      <c r="AD213" s="83">
        <f t="shared" si="2"/>
        <v>45838</v>
      </c>
      <c r="AE213" s="85" t="s">
        <v>1286</v>
      </c>
    </row>
    <row r="214" spans="2:31" x14ac:dyDescent="0.3">
      <c r="B214" s="7" t="s">
        <v>1929</v>
      </c>
      <c r="C214" s="8" t="s">
        <v>1930</v>
      </c>
      <c r="D214" s="19" t="s">
        <v>1931</v>
      </c>
      <c r="E214" s="8" t="s">
        <v>1932</v>
      </c>
      <c r="F214" s="8" t="s">
        <v>1089</v>
      </c>
      <c r="G214" s="8"/>
      <c r="H214" s="10" t="s">
        <v>1933</v>
      </c>
      <c r="I214" s="11" t="s">
        <v>300</v>
      </c>
      <c r="J214" s="11" t="s">
        <v>299</v>
      </c>
      <c r="K214" s="11" t="s">
        <v>299</v>
      </c>
      <c r="L214" s="11" t="s">
        <v>51</v>
      </c>
      <c r="M214" s="84">
        <v>45090</v>
      </c>
      <c r="N214" s="11">
        <v>45291</v>
      </c>
      <c r="O214" s="11">
        <v>45473</v>
      </c>
      <c r="P214" s="11">
        <v>45657</v>
      </c>
      <c r="Q214" s="11">
        <v>45838</v>
      </c>
      <c r="R214" s="11">
        <v>45292</v>
      </c>
      <c r="S214" s="11">
        <v>45382</v>
      </c>
      <c r="T214" s="8"/>
      <c r="U214" s="8"/>
      <c r="V214" s="8"/>
      <c r="W214" s="8"/>
      <c r="X214" s="8"/>
      <c r="Y214" s="8"/>
      <c r="Z214" s="8"/>
      <c r="AA214" s="8"/>
      <c r="AB214" s="8"/>
      <c r="AC214" s="11"/>
      <c r="AD214" s="83">
        <f t="shared" si="2"/>
        <v>45838</v>
      </c>
      <c r="AE214" s="85" t="s">
        <v>1286</v>
      </c>
    </row>
    <row r="215" spans="2:31" x14ac:dyDescent="0.3">
      <c r="B215" s="7" t="s">
        <v>1934</v>
      </c>
      <c r="C215" s="8" t="s">
        <v>1935</v>
      </c>
      <c r="D215" s="19" t="s">
        <v>1936</v>
      </c>
      <c r="E215" s="8" t="s">
        <v>61</v>
      </c>
      <c r="F215" s="8" t="s">
        <v>62</v>
      </c>
      <c r="G215" s="8"/>
      <c r="H215" s="10" t="s">
        <v>1937</v>
      </c>
      <c r="I215" s="11" t="s">
        <v>1219</v>
      </c>
      <c r="J215" s="11" t="s">
        <v>42</v>
      </c>
      <c r="K215" s="11" t="s">
        <v>42</v>
      </c>
      <c r="L215" s="11" t="s">
        <v>51</v>
      </c>
      <c r="M215" s="84">
        <v>45139</v>
      </c>
      <c r="N215" s="11">
        <v>45230</v>
      </c>
      <c r="O215" s="11">
        <v>45260</v>
      </c>
      <c r="P215" s="11">
        <v>45443</v>
      </c>
      <c r="Q215" s="11">
        <v>45535</v>
      </c>
      <c r="R215" s="11">
        <v>45261</v>
      </c>
      <c r="S215" s="11">
        <v>45351</v>
      </c>
      <c r="T215" s="11">
        <v>45626</v>
      </c>
      <c r="U215" s="11">
        <v>45716</v>
      </c>
      <c r="V215" s="11">
        <v>45808</v>
      </c>
      <c r="W215" s="11">
        <v>45900</v>
      </c>
      <c r="X215" s="8"/>
      <c r="Y215" s="8"/>
      <c r="Z215" s="8"/>
      <c r="AA215" s="8"/>
      <c r="AB215" s="8"/>
      <c r="AC215" s="11"/>
      <c r="AD215" s="83">
        <f t="shared" si="2"/>
        <v>45900</v>
      </c>
      <c r="AE215" s="85" t="s">
        <v>1255</v>
      </c>
    </row>
    <row r="216" spans="2:31" x14ac:dyDescent="0.3">
      <c r="B216" s="7" t="s">
        <v>1938</v>
      </c>
      <c r="C216" s="8" t="s">
        <v>1939</v>
      </c>
      <c r="D216" s="9" t="s">
        <v>1940</v>
      </c>
      <c r="E216" s="8" t="s">
        <v>1941</v>
      </c>
      <c r="F216" s="8" t="s">
        <v>131</v>
      </c>
      <c r="G216" s="8"/>
      <c r="H216" s="10" t="s">
        <v>1942</v>
      </c>
      <c r="I216" s="11" t="s">
        <v>73</v>
      </c>
      <c r="J216" s="11" t="s">
        <v>73</v>
      </c>
      <c r="K216" s="11" t="s">
        <v>73</v>
      </c>
      <c r="L216" s="11" t="s">
        <v>51</v>
      </c>
      <c r="M216" s="84">
        <v>45627</v>
      </c>
      <c r="N216" s="11">
        <v>45688</v>
      </c>
      <c r="O216" s="11">
        <v>45716</v>
      </c>
      <c r="P216" s="11">
        <v>45747</v>
      </c>
      <c r="Q216" s="11"/>
      <c r="R216" s="11"/>
      <c r="S216" s="11"/>
      <c r="T216" s="11"/>
      <c r="U216" s="8"/>
      <c r="V216" s="8"/>
      <c r="W216" s="8"/>
      <c r="X216" s="8"/>
      <c r="Y216" s="8"/>
      <c r="Z216" s="8"/>
      <c r="AA216" s="8"/>
      <c r="AB216" s="8"/>
      <c r="AC216" s="11"/>
      <c r="AD216" s="83">
        <f t="shared" si="2"/>
        <v>45747</v>
      </c>
      <c r="AE216" s="85" t="s">
        <v>1286</v>
      </c>
    </row>
    <row r="217" spans="2:31" x14ac:dyDescent="0.3">
      <c r="B217" s="7" t="s">
        <v>1943</v>
      </c>
      <c r="C217" s="8" t="s">
        <v>1944</v>
      </c>
      <c r="D217" s="19" t="s">
        <v>1945</v>
      </c>
      <c r="E217" s="8" t="s">
        <v>1946</v>
      </c>
      <c r="F217" s="8" t="s">
        <v>310</v>
      </c>
      <c r="G217" s="8"/>
      <c r="H217" s="10" t="s">
        <v>1947</v>
      </c>
      <c r="I217" s="11" t="s">
        <v>1589</v>
      </c>
      <c r="J217" s="11" t="s">
        <v>1589</v>
      </c>
      <c r="K217" s="11" t="s">
        <v>1590</v>
      </c>
      <c r="L217" s="91" t="s">
        <v>43</v>
      </c>
      <c r="M217" s="84">
        <v>44973</v>
      </c>
      <c r="N217" s="11">
        <v>45138</v>
      </c>
      <c r="O217" s="92">
        <v>45322</v>
      </c>
      <c r="P217" s="11">
        <v>45504</v>
      </c>
      <c r="Q217" s="8"/>
      <c r="R217" s="11">
        <v>45323</v>
      </c>
      <c r="S217" s="11">
        <v>45412</v>
      </c>
      <c r="T217" s="8"/>
      <c r="U217" s="8"/>
      <c r="V217" s="8"/>
      <c r="W217" s="8"/>
      <c r="X217" s="8"/>
      <c r="Y217" s="8"/>
      <c r="Z217" s="8"/>
      <c r="AA217" s="8"/>
      <c r="AB217" s="8"/>
      <c r="AC217" s="11"/>
      <c r="AD217" s="83">
        <f t="shared" si="2"/>
        <v>45504</v>
      </c>
      <c r="AE217" s="26" t="s">
        <v>1255</v>
      </c>
    </row>
    <row r="218" spans="2:31" x14ac:dyDescent="0.3">
      <c r="B218" s="7" t="s">
        <v>1948</v>
      </c>
      <c r="C218" s="8" t="s">
        <v>1949</v>
      </c>
      <c r="D218" s="19" t="s">
        <v>1950</v>
      </c>
      <c r="E218" s="8" t="s">
        <v>1290</v>
      </c>
      <c r="F218" s="8" t="s">
        <v>131</v>
      </c>
      <c r="G218" s="8"/>
      <c r="H218" s="10" t="s">
        <v>1951</v>
      </c>
      <c r="I218" s="11" t="s">
        <v>1952</v>
      </c>
      <c r="J218" s="11" t="s">
        <v>1953</v>
      </c>
      <c r="K218" s="11" t="s">
        <v>1953</v>
      </c>
      <c r="L218" s="11" t="s">
        <v>51</v>
      </c>
      <c r="M218" s="84">
        <v>45041</v>
      </c>
      <c r="N218" s="11">
        <v>45230</v>
      </c>
      <c r="O218" s="11">
        <v>45260</v>
      </c>
      <c r="P218" s="11">
        <v>45443</v>
      </c>
      <c r="Q218" s="8"/>
      <c r="R218" s="11">
        <v>45261</v>
      </c>
      <c r="S218" s="11">
        <v>45351</v>
      </c>
      <c r="T218" s="8"/>
      <c r="U218" s="8"/>
      <c r="V218" s="8"/>
      <c r="W218" s="8"/>
      <c r="X218" s="8"/>
      <c r="Y218" s="8"/>
      <c r="Z218" s="8"/>
      <c r="AA218" s="8"/>
      <c r="AB218" s="8"/>
      <c r="AC218" s="11"/>
      <c r="AD218" s="83">
        <f t="shared" si="2"/>
        <v>45443</v>
      </c>
      <c r="AE218" s="26" t="s">
        <v>1255</v>
      </c>
    </row>
    <row r="219" spans="2:31" x14ac:dyDescent="0.3">
      <c r="B219" s="7" t="s">
        <v>1954</v>
      </c>
      <c r="C219" s="8" t="s">
        <v>1955</v>
      </c>
      <c r="D219" s="19" t="s">
        <v>1956</v>
      </c>
      <c r="E219" s="8" t="s">
        <v>1011</v>
      </c>
      <c r="F219" s="8" t="s">
        <v>885</v>
      </c>
      <c r="G219" s="8"/>
      <c r="H219" s="10" t="s">
        <v>1957</v>
      </c>
      <c r="I219" s="11" t="s">
        <v>1958</v>
      </c>
      <c r="J219" s="11" t="s">
        <v>73</v>
      </c>
      <c r="K219" s="11" t="s">
        <v>73</v>
      </c>
      <c r="L219" s="11" t="s">
        <v>51</v>
      </c>
      <c r="M219" s="84">
        <v>45006</v>
      </c>
      <c r="N219" s="11">
        <v>45199</v>
      </c>
      <c r="O219" s="11">
        <v>45291</v>
      </c>
      <c r="P219" s="11">
        <v>45473</v>
      </c>
      <c r="Q219" s="11">
        <v>45565</v>
      </c>
      <c r="R219" s="11">
        <v>45292</v>
      </c>
      <c r="S219" s="11">
        <v>45382</v>
      </c>
      <c r="T219" s="11">
        <v>45657</v>
      </c>
      <c r="U219" s="8"/>
      <c r="V219" s="8"/>
      <c r="W219" s="8"/>
      <c r="X219" s="8"/>
      <c r="Y219" s="8"/>
      <c r="Z219" s="8"/>
      <c r="AA219" s="8"/>
      <c r="AB219" s="8"/>
      <c r="AC219" s="11"/>
      <c r="AD219" s="83">
        <f t="shared" si="2"/>
        <v>45657</v>
      </c>
      <c r="AE219" s="26" t="s">
        <v>1255</v>
      </c>
    </row>
    <row r="220" spans="2:31" x14ac:dyDescent="0.3">
      <c r="B220" s="7" t="s">
        <v>1959</v>
      </c>
      <c r="C220" s="8" t="s">
        <v>1960</v>
      </c>
      <c r="D220" s="19" t="s">
        <v>1961</v>
      </c>
      <c r="E220" s="8" t="s">
        <v>1962</v>
      </c>
      <c r="F220" s="8" t="s">
        <v>131</v>
      </c>
      <c r="G220" s="8"/>
      <c r="H220" s="10" t="s">
        <v>1963</v>
      </c>
      <c r="I220" s="11" t="s">
        <v>1964</v>
      </c>
      <c r="J220" s="11" t="s">
        <v>1964</v>
      </c>
      <c r="K220" s="11" t="s">
        <v>1965</v>
      </c>
      <c r="L220" s="11" t="s">
        <v>43</v>
      </c>
      <c r="M220" s="84">
        <v>45593</v>
      </c>
      <c r="N220" s="11">
        <v>45688</v>
      </c>
      <c r="O220" s="11">
        <v>45716</v>
      </c>
      <c r="P220" s="11">
        <v>45808</v>
      </c>
      <c r="Q220" s="11"/>
      <c r="R220" s="11"/>
      <c r="S220" s="11"/>
      <c r="T220" s="11"/>
      <c r="U220" s="8"/>
      <c r="V220" s="8"/>
      <c r="W220" s="8"/>
      <c r="X220" s="8"/>
      <c r="Y220" s="8"/>
      <c r="Z220" s="8"/>
      <c r="AA220" s="8"/>
      <c r="AB220" s="8"/>
      <c r="AC220" s="11"/>
      <c r="AD220" s="83">
        <f t="shared" si="2"/>
        <v>45808</v>
      </c>
      <c r="AE220" s="85" t="s">
        <v>1255</v>
      </c>
    </row>
    <row r="221" spans="2:31" x14ac:dyDescent="0.3">
      <c r="B221" s="7" t="s">
        <v>1966</v>
      </c>
      <c r="C221" s="8" t="s">
        <v>1967</v>
      </c>
      <c r="D221" s="19" t="s">
        <v>1968</v>
      </c>
      <c r="E221" s="8" t="s">
        <v>61</v>
      </c>
      <c r="F221" s="8" t="s">
        <v>1181</v>
      </c>
      <c r="G221" s="8"/>
      <c r="H221" s="10" t="s">
        <v>1969</v>
      </c>
      <c r="I221" s="11" t="s">
        <v>1970</v>
      </c>
      <c r="J221" s="11" t="s">
        <v>73</v>
      </c>
      <c r="K221" s="11" t="s">
        <v>73</v>
      </c>
      <c r="L221" s="11" t="s">
        <v>51</v>
      </c>
      <c r="M221" s="84">
        <v>45040</v>
      </c>
      <c r="N221" s="11">
        <v>45138</v>
      </c>
      <c r="O221" s="11">
        <v>45230</v>
      </c>
      <c r="P221" s="11">
        <v>45260</v>
      </c>
      <c r="Q221" s="11">
        <v>45443</v>
      </c>
      <c r="R221" s="11">
        <v>45261</v>
      </c>
      <c r="S221" s="11">
        <v>45351</v>
      </c>
      <c r="T221" s="11">
        <v>45535</v>
      </c>
      <c r="U221" s="11">
        <v>45626</v>
      </c>
      <c r="V221" s="11">
        <v>45716</v>
      </c>
      <c r="W221" s="11">
        <v>45808</v>
      </c>
      <c r="X221" s="8"/>
      <c r="Y221" s="8"/>
      <c r="Z221" s="8"/>
      <c r="AA221" s="8"/>
      <c r="AB221" s="8"/>
      <c r="AC221" s="11"/>
      <c r="AD221" s="83">
        <f t="shared" si="2"/>
        <v>45808</v>
      </c>
      <c r="AE221" s="85" t="s">
        <v>1255</v>
      </c>
    </row>
    <row r="222" spans="2:31" x14ac:dyDescent="0.3">
      <c r="B222" s="7" t="s">
        <v>1971</v>
      </c>
      <c r="C222" s="8" t="s">
        <v>1972</v>
      </c>
      <c r="D222" s="19" t="s">
        <v>1973</v>
      </c>
      <c r="E222" s="8" t="s">
        <v>61</v>
      </c>
      <c r="F222" s="8" t="s">
        <v>1181</v>
      </c>
      <c r="G222" s="8"/>
      <c r="H222" s="10" t="s">
        <v>1974</v>
      </c>
      <c r="I222" s="11" t="s">
        <v>1273</v>
      </c>
      <c r="J222" s="11" t="s">
        <v>73</v>
      </c>
      <c r="K222" s="11" t="s">
        <v>73</v>
      </c>
      <c r="L222" s="11" t="s">
        <v>43</v>
      </c>
      <c r="M222" s="84">
        <v>45579</v>
      </c>
      <c r="N222" s="11">
        <v>45657</v>
      </c>
      <c r="O222" s="11"/>
      <c r="P222" s="11"/>
      <c r="Q222" s="11"/>
      <c r="R222" s="11"/>
      <c r="S222" s="11"/>
      <c r="T222" s="11"/>
      <c r="U222" s="11"/>
      <c r="V222" s="8"/>
      <c r="W222" s="8"/>
      <c r="X222" s="8"/>
      <c r="Y222" s="8"/>
      <c r="Z222" s="8"/>
      <c r="AA222" s="8"/>
      <c r="AB222" s="8"/>
      <c r="AC222" s="11"/>
      <c r="AD222" s="83">
        <f t="shared" si="2"/>
        <v>45657</v>
      </c>
      <c r="AE222" s="26" t="s">
        <v>1255</v>
      </c>
    </row>
    <row r="223" spans="2:31" x14ac:dyDescent="0.3">
      <c r="B223" s="7" t="s">
        <v>1975</v>
      </c>
      <c r="C223" s="8" t="s">
        <v>1976</v>
      </c>
      <c r="D223" s="19" t="s">
        <v>1977</v>
      </c>
      <c r="E223" s="8" t="s">
        <v>574</v>
      </c>
      <c r="F223" s="8" t="s">
        <v>1978</v>
      </c>
      <c r="G223" s="8"/>
      <c r="H223" s="10" t="s">
        <v>1979</v>
      </c>
      <c r="I223" s="11" t="s">
        <v>1980</v>
      </c>
      <c r="J223" s="11" t="s">
        <v>1660</v>
      </c>
      <c r="K223" s="11" t="s">
        <v>1660</v>
      </c>
      <c r="L223" s="11" t="s">
        <v>1661</v>
      </c>
      <c r="M223" s="84">
        <v>45586</v>
      </c>
      <c r="N223" s="11">
        <v>45657</v>
      </c>
      <c r="O223" s="11">
        <v>45747</v>
      </c>
      <c r="P223" s="11"/>
      <c r="Q223" s="11"/>
      <c r="R223" s="11"/>
      <c r="S223" s="11"/>
      <c r="T223" s="11"/>
      <c r="U223" s="11"/>
      <c r="V223" s="8"/>
      <c r="W223" s="8"/>
      <c r="X223" s="8"/>
      <c r="Y223" s="8"/>
      <c r="Z223" s="8"/>
      <c r="AA223" s="8"/>
      <c r="AB223" s="8"/>
      <c r="AC223" s="11"/>
      <c r="AD223" s="83">
        <f t="shared" si="2"/>
        <v>45747</v>
      </c>
      <c r="AE223" s="85" t="s">
        <v>1286</v>
      </c>
    </row>
    <row r="224" spans="2:31" x14ac:dyDescent="0.3">
      <c r="B224" s="7" t="s">
        <v>1981</v>
      </c>
      <c r="C224" s="8" t="s">
        <v>1982</v>
      </c>
      <c r="D224" s="19" t="s">
        <v>1983</v>
      </c>
      <c r="E224" s="8" t="s">
        <v>1984</v>
      </c>
      <c r="F224" s="8" t="s">
        <v>1328</v>
      </c>
      <c r="G224" s="8"/>
      <c r="H224" s="10" t="s">
        <v>1985</v>
      </c>
      <c r="I224" s="11" t="s">
        <v>1590</v>
      </c>
      <c r="J224" s="11" t="s">
        <v>1590</v>
      </c>
      <c r="K224" s="11" t="s">
        <v>1590</v>
      </c>
      <c r="L224" s="11" t="s">
        <v>51</v>
      </c>
      <c r="M224" s="84">
        <v>45397</v>
      </c>
      <c r="N224" s="11">
        <v>45473</v>
      </c>
      <c r="O224" s="11"/>
      <c r="P224" s="11"/>
      <c r="Q224" s="8"/>
      <c r="R224" s="15"/>
      <c r="S224" s="15"/>
      <c r="T224" s="8"/>
      <c r="U224" s="8"/>
      <c r="V224" s="8"/>
      <c r="W224" s="8"/>
      <c r="X224" s="8"/>
      <c r="Y224" s="8"/>
      <c r="Z224" s="8"/>
      <c r="AA224" s="8"/>
      <c r="AB224" s="8"/>
      <c r="AC224" s="11"/>
      <c r="AD224" s="83">
        <f t="shared" si="2"/>
        <v>45473</v>
      </c>
      <c r="AE224" s="26" t="s">
        <v>1255</v>
      </c>
    </row>
    <row r="225" spans="2:31" x14ac:dyDescent="0.3">
      <c r="B225" s="112" t="s">
        <v>1986</v>
      </c>
      <c r="C225" s="8" t="s">
        <v>1987</v>
      </c>
      <c r="D225" s="147" t="s">
        <v>1988</v>
      </c>
      <c r="E225" s="113" t="s">
        <v>1989</v>
      </c>
      <c r="F225" s="113" t="s">
        <v>1115</v>
      </c>
      <c r="G225" s="113"/>
      <c r="H225" s="153" t="s">
        <v>1990</v>
      </c>
      <c r="I225" s="114" t="s">
        <v>1991</v>
      </c>
      <c r="J225" s="114" t="s">
        <v>73</v>
      </c>
      <c r="K225" s="114" t="s">
        <v>73</v>
      </c>
      <c r="L225" s="114" t="s">
        <v>51</v>
      </c>
      <c r="M225" s="115">
        <v>45369</v>
      </c>
      <c r="N225" s="114">
        <v>45473</v>
      </c>
      <c r="O225" s="114">
        <v>45657</v>
      </c>
      <c r="P225" s="114">
        <v>45838</v>
      </c>
      <c r="Q225" s="113"/>
      <c r="R225" s="114"/>
      <c r="S225" s="114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4"/>
      <c r="AD225" s="83">
        <f t="shared" si="2"/>
        <v>45838</v>
      </c>
      <c r="AE225" s="85" t="s">
        <v>1286</v>
      </c>
    </row>
    <row r="226" spans="2:31" x14ac:dyDescent="0.3">
      <c r="B226" s="7" t="s">
        <v>1992</v>
      </c>
      <c r="C226" s="8" t="s">
        <v>1993</v>
      </c>
      <c r="D226" s="19" t="s">
        <v>1994</v>
      </c>
      <c r="E226" s="8" t="s">
        <v>1995</v>
      </c>
      <c r="F226" s="8" t="s">
        <v>1412</v>
      </c>
      <c r="G226" s="8"/>
      <c r="H226" s="10" t="s">
        <v>1996</v>
      </c>
      <c r="I226" s="11" t="s">
        <v>1254</v>
      </c>
      <c r="J226" s="11" t="s">
        <v>73</v>
      </c>
      <c r="K226" s="11" t="s">
        <v>1236</v>
      </c>
      <c r="L226" s="91" t="s">
        <v>43</v>
      </c>
      <c r="M226" s="84">
        <v>44927</v>
      </c>
      <c r="N226" s="11">
        <v>45107</v>
      </c>
      <c r="O226" s="11">
        <v>45199</v>
      </c>
      <c r="P226" s="11">
        <v>45291</v>
      </c>
      <c r="Q226" s="11">
        <v>45382</v>
      </c>
      <c r="R226" s="8"/>
      <c r="S226" s="8"/>
      <c r="T226" s="11">
        <v>45473</v>
      </c>
      <c r="U226" s="11">
        <v>45565</v>
      </c>
      <c r="V226" s="11">
        <v>45657</v>
      </c>
      <c r="W226" s="8" t="s">
        <v>1997</v>
      </c>
      <c r="X226" s="11">
        <v>45838</v>
      </c>
      <c r="Y226" s="8"/>
      <c r="Z226" s="8"/>
      <c r="AA226" s="8"/>
      <c r="AB226" s="8"/>
      <c r="AC226" s="11"/>
      <c r="AD226" s="83">
        <f t="shared" si="2"/>
        <v>45838</v>
      </c>
      <c r="AE226" s="85" t="s">
        <v>1255</v>
      </c>
    </row>
    <row r="227" spans="2:31" x14ac:dyDescent="0.3">
      <c r="B227" s="7" t="s">
        <v>1998</v>
      </c>
      <c r="C227" s="8" t="s">
        <v>1999</v>
      </c>
      <c r="D227" s="19" t="s">
        <v>2000</v>
      </c>
      <c r="E227" s="8" t="s">
        <v>1565</v>
      </c>
      <c r="F227" s="8" t="s">
        <v>1089</v>
      </c>
      <c r="G227" s="8"/>
      <c r="H227" s="10" t="s">
        <v>2001</v>
      </c>
      <c r="I227" s="11" t="s">
        <v>300</v>
      </c>
      <c r="J227" s="11" t="s">
        <v>299</v>
      </c>
      <c r="K227" s="11" t="s">
        <v>299</v>
      </c>
      <c r="L227" s="11" t="s">
        <v>51</v>
      </c>
      <c r="M227" s="84">
        <v>45048</v>
      </c>
      <c r="N227" s="11">
        <v>45230</v>
      </c>
      <c r="O227" s="11">
        <v>45260</v>
      </c>
      <c r="P227" s="11">
        <v>45443</v>
      </c>
      <c r="Q227" s="11">
        <v>45535</v>
      </c>
      <c r="R227" s="11">
        <v>45261</v>
      </c>
      <c r="S227" s="11">
        <v>45351</v>
      </c>
      <c r="T227" s="11">
        <v>45626</v>
      </c>
      <c r="U227" s="11">
        <v>45716</v>
      </c>
      <c r="V227" s="11">
        <v>45808</v>
      </c>
      <c r="W227" s="11">
        <v>45900</v>
      </c>
      <c r="X227" s="8"/>
      <c r="Y227" s="8"/>
      <c r="Z227" s="8"/>
      <c r="AA227" s="8"/>
      <c r="AB227" s="8"/>
      <c r="AC227" s="11"/>
      <c r="AD227" s="83">
        <f t="shared" si="2"/>
        <v>45900</v>
      </c>
      <c r="AE227" s="85" t="s">
        <v>1255</v>
      </c>
    </row>
    <row r="228" spans="2:31" x14ac:dyDescent="0.3">
      <c r="B228" s="7" t="s">
        <v>2002</v>
      </c>
      <c r="C228" s="8" t="s">
        <v>2003</v>
      </c>
      <c r="D228" s="19" t="s">
        <v>2004</v>
      </c>
      <c r="E228" s="8" t="s">
        <v>2005</v>
      </c>
      <c r="F228" s="8" t="s">
        <v>1328</v>
      </c>
      <c r="G228" s="8"/>
      <c r="H228" s="10" t="s">
        <v>2006</v>
      </c>
      <c r="I228" s="11" t="s">
        <v>73</v>
      </c>
      <c r="J228" s="11" t="s">
        <v>73</v>
      </c>
      <c r="K228" s="11" t="s">
        <v>73</v>
      </c>
      <c r="L228" s="11" t="s">
        <v>51</v>
      </c>
      <c r="M228" s="84">
        <v>44866</v>
      </c>
      <c r="N228" s="11">
        <v>45046</v>
      </c>
      <c r="O228" s="11">
        <v>45230</v>
      </c>
      <c r="P228" s="11">
        <v>45322</v>
      </c>
      <c r="Q228" s="8"/>
      <c r="R228" s="11">
        <v>45323</v>
      </c>
      <c r="S228" s="11">
        <v>45412</v>
      </c>
      <c r="T228" s="8"/>
      <c r="U228" s="8"/>
      <c r="V228" s="8"/>
      <c r="W228" s="8"/>
      <c r="X228" s="8"/>
      <c r="Y228" s="8"/>
      <c r="Z228" s="8"/>
      <c r="AA228" s="8"/>
      <c r="AB228" s="8"/>
      <c r="AC228" s="11"/>
      <c r="AD228" s="83">
        <f t="shared" si="2"/>
        <v>45412</v>
      </c>
      <c r="AE228" s="26" t="s">
        <v>1255</v>
      </c>
    </row>
    <row r="229" spans="2:31" x14ac:dyDescent="0.3">
      <c r="B229" s="7" t="s">
        <v>2007</v>
      </c>
      <c r="C229" s="8" t="s">
        <v>2008</v>
      </c>
      <c r="D229" s="19" t="s">
        <v>2009</v>
      </c>
      <c r="E229" s="8" t="s">
        <v>862</v>
      </c>
      <c r="F229" s="8" t="s">
        <v>1395</v>
      </c>
      <c r="G229" s="8"/>
      <c r="H229" s="10" t="s">
        <v>2010</v>
      </c>
      <c r="I229" s="11" t="s">
        <v>1812</v>
      </c>
      <c r="J229" s="11" t="s">
        <v>244</v>
      </c>
      <c r="K229" s="11" t="s">
        <v>1408</v>
      </c>
      <c r="L229" s="11" t="s">
        <v>51</v>
      </c>
      <c r="M229" s="84">
        <v>45061</v>
      </c>
      <c r="N229" s="11">
        <v>45169</v>
      </c>
      <c r="O229" s="11">
        <v>45351</v>
      </c>
      <c r="P229" s="11">
        <v>45443</v>
      </c>
      <c r="Q229" s="11">
        <v>45535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11"/>
      <c r="AD229" s="83">
        <f t="shared" si="2"/>
        <v>45535</v>
      </c>
      <c r="AE229" s="26" t="s">
        <v>1255</v>
      </c>
    </row>
    <row r="230" spans="2:31" x14ac:dyDescent="0.3">
      <c r="B230" s="7" t="s">
        <v>2011</v>
      </c>
      <c r="C230" s="8" t="s">
        <v>2012</v>
      </c>
      <c r="D230" s="19" t="s">
        <v>2013</v>
      </c>
      <c r="E230" s="8" t="s">
        <v>2014</v>
      </c>
      <c r="F230" s="8" t="s">
        <v>131</v>
      </c>
      <c r="G230" s="8"/>
      <c r="H230" s="10" t="s">
        <v>2015</v>
      </c>
      <c r="I230" s="11" t="s">
        <v>1516</v>
      </c>
      <c r="J230" s="11" t="s">
        <v>73</v>
      </c>
      <c r="K230" s="11" t="s">
        <v>73</v>
      </c>
      <c r="L230" s="11" t="s">
        <v>43</v>
      </c>
      <c r="M230" s="84">
        <v>45666</v>
      </c>
      <c r="N230" s="11">
        <v>45716</v>
      </c>
      <c r="O230" s="11"/>
      <c r="P230" s="11"/>
      <c r="Q230" s="11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11"/>
      <c r="AD230" s="83">
        <f t="shared" si="2"/>
        <v>45716</v>
      </c>
      <c r="AE230" s="85" t="s">
        <v>1286</v>
      </c>
    </row>
    <row r="231" spans="2:31" x14ac:dyDescent="0.3">
      <c r="B231" s="107" t="s">
        <v>2016</v>
      </c>
      <c r="C231" s="8" t="s">
        <v>2017</v>
      </c>
      <c r="D231" s="19" t="s">
        <v>2018</v>
      </c>
      <c r="E231" s="108" t="s">
        <v>61</v>
      </c>
      <c r="F231" s="108" t="s">
        <v>1181</v>
      </c>
      <c r="G231" s="108"/>
      <c r="H231" s="149" t="s">
        <v>2019</v>
      </c>
      <c r="I231" s="94" t="s">
        <v>2020</v>
      </c>
      <c r="J231" s="94" t="s">
        <v>73</v>
      </c>
      <c r="K231" s="94" t="s">
        <v>73</v>
      </c>
      <c r="L231" s="94" t="s">
        <v>43</v>
      </c>
      <c r="M231" s="109">
        <v>45567</v>
      </c>
      <c r="N231" s="94">
        <v>45657</v>
      </c>
      <c r="O231" s="94">
        <v>45747</v>
      </c>
      <c r="P231" s="94">
        <v>45777</v>
      </c>
      <c r="Q231" s="11">
        <v>45869</v>
      </c>
      <c r="R231" s="108"/>
      <c r="S231" s="108"/>
      <c r="T231" s="108"/>
      <c r="U231" s="108"/>
      <c r="V231" s="108"/>
      <c r="W231" s="108"/>
      <c r="X231" s="108"/>
      <c r="Y231" s="108"/>
      <c r="Z231" s="108"/>
      <c r="AA231" s="116"/>
      <c r="AB231" s="116"/>
      <c r="AC231" s="117"/>
      <c r="AD231" s="83">
        <f t="shared" si="2"/>
        <v>45869</v>
      </c>
      <c r="AE231" s="85" t="s">
        <v>1255</v>
      </c>
    </row>
    <row r="232" spans="2:31" x14ac:dyDescent="0.3">
      <c r="B232" s="7" t="s">
        <v>2021</v>
      </c>
      <c r="C232" s="8" t="s">
        <v>2022</v>
      </c>
      <c r="D232" s="19" t="s">
        <v>2023</v>
      </c>
      <c r="E232" s="8" t="s">
        <v>1041</v>
      </c>
      <c r="F232" s="8" t="s">
        <v>1412</v>
      </c>
      <c r="G232" s="8"/>
      <c r="H232" s="10" t="s">
        <v>2024</v>
      </c>
      <c r="I232" s="11" t="s">
        <v>1434</v>
      </c>
      <c r="J232" s="11" t="s">
        <v>73</v>
      </c>
      <c r="K232" s="11" t="s">
        <v>73</v>
      </c>
      <c r="L232" s="11" t="s">
        <v>51</v>
      </c>
      <c r="M232" s="84">
        <v>45020</v>
      </c>
      <c r="N232" s="11">
        <v>45199</v>
      </c>
      <c r="O232" s="11">
        <v>45291</v>
      </c>
      <c r="P232" s="11">
        <v>45443</v>
      </c>
      <c r="Q232" s="11">
        <v>45626</v>
      </c>
      <c r="R232" s="11">
        <v>45292</v>
      </c>
      <c r="S232" s="11">
        <v>45351</v>
      </c>
      <c r="T232" s="11">
        <v>45716</v>
      </c>
      <c r="U232" s="11">
        <v>45747</v>
      </c>
      <c r="V232" s="8"/>
      <c r="W232" s="8"/>
      <c r="X232" s="8"/>
      <c r="Y232" s="8"/>
      <c r="Z232" s="8"/>
      <c r="AA232" s="113"/>
      <c r="AB232" s="113"/>
      <c r="AC232" s="114"/>
      <c r="AD232" s="83">
        <f t="shared" si="2"/>
        <v>45747</v>
      </c>
      <c r="AE232" s="85" t="s">
        <v>1286</v>
      </c>
    </row>
    <row r="233" spans="2:31" x14ac:dyDescent="0.3">
      <c r="B233" s="7" t="s">
        <v>2025</v>
      </c>
      <c r="C233" s="8" t="s">
        <v>2026</v>
      </c>
      <c r="D233" s="19" t="s">
        <v>2027</v>
      </c>
      <c r="E233" s="8" t="s">
        <v>2028</v>
      </c>
      <c r="F233" s="8" t="s">
        <v>179</v>
      </c>
      <c r="G233" s="8"/>
      <c r="H233" s="10" t="s">
        <v>2029</v>
      </c>
      <c r="I233" s="11" t="s">
        <v>901</v>
      </c>
      <c r="J233" s="11" t="s">
        <v>901</v>
      </c>
      <c r="K233" s="11" t="s">
        <v>901</v>
      </c>
      <c r="L233" s="11" t="s">
        <v>51</v>
      </c>
      <c r="M233" s="84">
        <v>45656</v>
      </c>
      <c r="N233" s="11">
        <v>45747</v>
      </c>
      <c r="O233" s="11">
        <v>45838</v>
      </c>
      <c r="P233" s="11"/>
      <c r="Q233" s="11"/>
      <c r="R233" s="11"/>
      <c r="S233" s="11"/>
      <c r="T233" s="11"/>
      <c r="U233" s="8"/>
      <c r="V233" s="8"/>
      <c r="W233" s="8"/>
      <c r="X233" s="8"/>
      <c r="Y233" s="8"/>
      <c r="Z233" s="8"/>
      <c r="AA233" s="113"/>
      <c r="AB233" s="113"/>
      <c r="AC233" s="114"/>
      <c r="AD233" s="83">
        <f t="shared" si="2"/>
        <v>45838</v>
      </c>
      <c r="AE233" s="85" t="s">
        <v>1286</v>
      </c>
    </row>
    <row r="234" spans="2:31" x14ac:dyDescent="0.3">
      <c r="B234" s="7" t="s">
        <v>2030</v>
      </c>
      <c r="C234" s="8" t="s">
        <v>2031</v>
      </c>
      <c r="D234" s="19" t="s">
        <v>2032</v>
      </c>
      <c r="E234" s="8" t="s">
        <v>69</v>
      </c>
      <c r="F234" s="8" t="s">
        <v>1412</v>
      </c>
      <c r="G234" s="8"/>
      <c r="H234" s="146" t="s">
        <v>2033</v>
      </c>
      <c r="I234" s="11" t="s">
        <v>1567</v>
      </c>
      <c r="J234" s="11" t="s">
        <v>73</v>
      </c>
      <c r="K234" s="11" t="s">
        <v>73</v>
      </c>
      <c r="L234" s="11" t="s">
        <v>43</v>
      </c>
      <c r="M234" s="84">
        <v>45435</v>
      </c>
      <c r="N234" s="84">
        <v>45535</v>
      </c>
      <c r="O234" s="11">
        <v>45626</v>
      </c>
      <c r="P234" s="11">
        <v>45688</v>
      </c>
      <c r="Q234" s="8"/>
      <c r="R234" s="15"/>
      <c r="S234" s="15"/>
      <c r="T234" s="8"/>
      <c r="U234" s="8"/>
      <c r="V234" s="8"/>
      <c r="W234" s="8"/>
      <c r="X234" s="8"/>
      <c r="Y234" s="8"/>
      <c r="Z234" s="8"/>
      <c r="AA234" s="113"/>
      <c r="AB234" s="113"/>
      <c r="AC234" s="114"/>
      <c r="AD234" s="83">
        <f t="shared" si="2"/>
        <v>45688</v>
      </c>
      <c r="AE234" s="26" t="s">
        <v>1255</v>
      </c>
    </row>
    <row r="235" spans="2:31" x14ac:dyDescent="0.3">
      <c r="B235" s="87" t="s">
        <v>965</v>
      </c>
      <c r="C235" s="8" t="s">
        <v>2034</v>
      </c>
      <c r="D235" s="9" t="s">
        <v>967</v>
      </c>
      <c r="E235" s="88" t="s">
        <v>1941</v>
      </c>
      <c r="F235" s="88" t="s">
        <v>1115</v>
      </c>
      <c r="G235" s="88"/>
      <c r="H235" s="152" t="s">
        <v>968</v>
      </c>
      <c r="I235" s="89" t="s">
        <v>969</v>
      </c>
      <c r="J235" s="89" t="s">
        <v>773</v>
      </c>
      <c r="K235" s="89" t="s">
        <v>2035</v>
      </c>
      <c r="L235" s="89" t="s">
        <v>51</v>
      </c>
      <c r="M235" s="90">
        <v>45968</v>
      </c>
      <c r="N235" s="90">
        <v>46022</v>
      </c>
      <c r="O235" s="89"/>
      <c r="P235" s="89"/>
      <c r="Q235" s="89"/>
      <c r="R235" s="111"/>
      <c r="S235" s="111"/>
      <c r="T235" s="89"/>
      <c r="U235" s="89"/>
      <c r="V235" s="89"/>
      <c r="W235" s="89"/>
      <c r="X235" s="89"/>
      <c r="Y235" s="88"/>
      <c r="Z235" s="88"/>
      <c r="AA235" s="118"/>
      <c r="AB235" s="119"/>
      <c r="AC235" s="120"/>
      <c r="AD235" s="83">
        <f t="shared" si="2"/>
        <v>46022</v>
      </c>
      <c r="AE235" s="85" t="s">
        <v>1280</v>
      </c>
    </row>
    <row r="236" spans="2:31" x14ac:dyDescent="0.3">
      <c r="B236" s="87" t="s">
        <v>200</v>
      </c>
      <c r="C236" s="8" t="s">
        <v>2036</v>
      </c>
      <c r="D236" s="9" t="s">
        <v>2037</v>
      </c>
      <c r="E236" s="88" t="s">
        <v>2038</v>
      </c>
      <c r="F236" s="88" t="s">
        <v>1252</v>
      </c>
      <c r="G236" s="88"/>
      <c r="H236" s="145" t="s">
        <v>2039</v>
      </c>
      <c r="I236" s="89" t="s">
        <v>1516</v>
      </c>
      <c r="J236" s="89" t="s">
        <v>73</v>
      </c>
      <c r="K236" s="89" t="s">
        <v>73</v>
      </c>
      <c r="L236" s="89" t="s">
        <v>51</v>
      </c>
      <c r="M236" s="90">
        <v>45627</v>
      </c>
      <c r="N236" s="90">
        <v>45991</v>
      </c>
      <c r="O236" s="89"/>
      <c r="P236" s="89"/>
      <c r="Q236" s="89"/>
      <c r="R236" s="111"/>
      <c r="S236" s="111"/>
      <c r="T236" s="89"/>
      <c r="U236" s="89"/>
      <c r="V236" s="89"/>
      <c r="W236" s="89"/>
      <c r="X236" s="88"/>
      <c r="Y236" s="88"/>
      <c r="Z236" s="88"/>
      <c r="AA236" s="118"/>
      <c r="AB236" s="119"/>
      <c r="AC236" s="120"/>
      <c r="AD236" s="83">
        <f t="shared" si="2"/>
        <v>45991</v>
      </c>
      <c r="AE236" s="85" t="s">
        <v>1280</v>
      </c>
    </row>
    <row r="237" spans="2:31" x14ac:dyDescent="0.3">
      <c r="B237" s="87" t="s">
        <v>281</v>
      </c>
      <c r="C237" s="8" t="s">
        <v>2040</v>
      </c>
      <c r="D237" s="9" t="s">
        <v>2041</v>
      </c>
      <c r="E237" s="88" t="s">
        <v>2042</v>
      </c>
      <c r="F237" s="88" t="s">
        <v>556</v>
      </c>
      <c r="G237" s="88"/>
      <c r="H237" s="145" t="s">
        <v>2043</v>
      </c>
      <c r="I237" s="89" t="s">
        <v>1516</v>
      </c>
      <c r="J237" s="89" t="s">
        <v>73</v>
      </c>
      <c r="K237" s="89" t="s">
        <v>73</v>
      </c>
      <c r="L237" s="89" t="s">
        <v>51</v>
      </c>
      <c r="M237" s="90">
        <v>45627</v>
      </c>
      <c r="N237" s="90">
        <v>45991</v>
      </c>
      <c r="O237" s="89"/>
      <c r="P237" s="89"/>
      <c r="Q237" s="89"/>
      <c r="R237" s="111"/>
      <c r="S237" s="111"/>
      <c r="T237" s="89"/>
      <c r="U237" s="89"/>
      <c r="V237" s="89"/>
      <c r="W237" s="89"/>
      <c r="X237" s="88"/>
      <c r="Y237" s="88"/>
      <c r="Z237" s="88"/>
      <c r="AA237" s="118"/>
      <c r="AB237" s="119"/>
      <c r="AC237" s="120"/>
      <c r="AD237" s="83">
        <f t="shared" si="2"/>
        <v>45991</v>
      </c>
      <c r="AE237" s="85" t="s">
        <v>1280</v>
      </c>
    </row>
    <row r="238" spans="2:31" x14ac:dyDescent="0.3">
      <c r="B238" s="87" t="s">
        <v>168</v>
      </c>
      <c r="C238" s="8" t="s">
        <v>169</v>
      </c>
      <c r="D238" s="9" t="s">
        <v>170</v>
      </c>
      <c r="E238" s="88" t="s">
        <v>1698</v>
      </c>
      <c r="F238" s="88" t="s">
        <v>556</v>
      </c>
      <c r="G238" s="88"/>
      <c r="H238" s="145" t="s">
        <v>2044</v>
      </c>
      <c r="I238" s="89" t="s">
        <v>1516</v>
      </c>
      <c r="J238" s="89" t="s">
        <v>73</v>
      </c>
      <c r="K238" s="89" t="s">
        <v>1236</v>
      </c>
      <c r="L238" s="89" t="s">
        <v>2045</v>
      </c>
      <c r="M238" s="90">
        <v>45839</v>
      </c>
      <c r="N238" s="90">
        <v>46203</v>
      </c>
      <c r="O238" s="89"/>
      <c r="P238" s="89"/>
      <c r="Q238" s="89"/>
      <c r="R238" s="111"/>
      <c r="S238" s="111"/>
      <c r="T238" s="89"/>
      <c r="U238" s="89"/>
      <c r="V238" s="89"/>
      <c r="W238" s="89"/>
      <c r="X238" s="88"/>
      <c r="Y238" s="88"/>
      <c r="Z238" s="88"/>
      <c r="AA238" s="118"/>
      <c r="AB238" s="119"/>
      <c r="AC238" s="120"/>
      <c r="AD238" s="83">
        <f t="shared" si="2"/>
        <v>46203</v>
      </c>
      <c r="AE238" s="85" t="s">
        <v>1280</v>
      </c>
    </row>
    <row r="239" spans="2:31" x14ac:dyDescent="0.3">
      <c r="B239" s="87" t="s">
        <v>400</v>
      </c>
      <c r="C239" s="8" t="s">
        <v>2046</v>
      </c>
      <c r="D239" s="9" t="s">
        <v>402</v>
      </c>
      <c r="E239" s="88" t="s">
        <v>1698</v>
      </c>
      <c r="F239" s="88" t="s">
        <v>556</v>
      </c>
      <c r="G239" s="88"/>
      <c r="H239" s="145" t="s">
        <v>403</v>
      </c>
      <c r="I239" s="89" t="s">
        <v>141</v>
      </c>
      <c r="J239" s="89" t="s">
        <v>73</v>
      </c>
      <c r="K239" s="89" t="s">
        <v>73</v>
      </c>
      <c r="L239" s="89" t="s">
        <v>2045</v>
      </c>
      <c r="M239" s="90">
        <v>45627</v>
      </c>
      <c r="N239" s="90">
        <v>45991</v>
      </c>
      <c r="O239" s="89"/>
      <c r="P239" s="89"/>
      <c r="Q239" s="89"/>
      <c r="R239" s="111"/>
      <c r="S239" s="111"/>
      <c r="T239" s="89"/>
      <c r="U239" s="89"/>
      <c r="V239" s="89"/>
      <c r="W239" s="89"/>
      <c r="X239" s="88"/>
      <c r="Y239" s="88"/>
      <c r="Z239" s="88"/>
      <c r="AA239" s="118"/>
      <c r="AB239" s="119"/>
      <c r="AC239" s="120"/>
      <c r="AD239" s="83">
        <f t="shared" si="2"/>
        <v>45991</v>
      </c>
      <c r="AE239" s="85" t="s">
        <v>1280</v>
      </c>
    </row>
    <row r="240" spans="2:31" x14ac:dyDescent="0.3">
      <c r="B240" s="87" t="s">
        <v>2047</v>
      </c>
      <c r="C240" s="8" t="s">
        <v>2048</v>
      </c>
      <c r="D240" s="9" t="s">
        <v>2049</v>
      </c>
      <c r="E240" s="88" t="s">
        <v>2050</v>
      </c>
      <c r="F240" s="88" t="s">
        <v>1115</v>
      </c>
      <c r="G240" s="88"/>
      <c r="H240" s="145" t="s">
        <v>403</v>
      </c>
      <c r="I240" s="89" t="s">
        <v>141</v>
      </c>
      <c r="J240" s="89" t="s">
        <v>73</v>
      </c>
      <c r="K240" s="89" t="s">
        <v>73</v>
      </c>
      <c r="L240" s="89" t="s">
        <v>51</v>
      </c>
      <c r="M240" s="90">
        <v>45627</v>
      </c>
      <c r="N240" s="90">
        <v>45991</v>
      </c>
      <c r="O240" s="89"/>
      <c r="P240" s="89"/>
      <c r="Q240" s="89"/>
      <c r="R240" s="111"/>
      <c r="S240" s="111"/>
      <c r="T240" s="89"/>
      <c r="U240" s="89"/>
      <c r="V240" s="89"/>
      <c r="W240" s="89"/>
      <c r="X240" s="88"/>
      <c r="Y240" s="88"/>
      <c r="Z240" s="88"/>
      <c r="AA240" s="118"/>
      <c r="AB240" s="119"/>
      <c r="AC240" s="120"/>
      <c r="AD240" s="83">
        <f t="shared" si="2"/>
        <v>45991</v>
      </c>
      <c r="AE240" s="26" t="s">
        <v>1255</v>
      </c>
    </row>
    <row r="241" spans="2:35" x14ac:dyDescent="0.3">
      <c r="B241" s="7" t="s">
        <v>2051</v>
      </c>
      <c r="C241" s="8" t="s">
        <v>2052</v>
      </c>
      <c r="D241" s="9" t="s">
        <v>2053</v>
      </c>
      <c r="E241" s="88" t="s">
        <v>77</v>
      </c>
      <c r="F241" s="88" t="s">
        <v>131</v>
      </c>
      <c r="G241" s="88"/>
      <c r="H241" s="145" t="s">
        <v>2054</v>
      </c>
      <c r="I241" s="89" t="s">
        <v>2055</v>
      </c>
      <c r="J241" s="89" t="s">
        <v>1236</v>
      </c>
      <c r="K241" s="89" t="s">
        <v>1236</v>
      </c>
      <c r="L241" s="89" t="s">
        <v>43</v>
      </c>
      <c r="M241" s="90">
        <v>45859</v>
      </c>
      <c r="N241" s="90">
        <v>45890</v>
      </c>
      <c r="O241" s="89"/>
      <c r="P241" s="89"/>
      <c r="Q241" s="89"/>
      <c r="R241" s="111"/>
      <c r="S241" s="111"/>
      <c r="T241" s="89"/>
      <c r="U241" s="89"/>
      <c r="V241" s="89"/>
      <c r="W241" s="89"/>
      <c r="X241" s="88"/>
      <c r="Y241" s="88"/>
      <c r="Z241" s="88"/>
      <c r="AA241" s="118"/>
      <c r="AB241" s="119"/>
      <c r="AC241" s="120"/>
      <c r="AD241" s="83">
        <f t="shared" si="2"/>
        <v>45890</v>
      </c>
      <c r="AE241" s="85" t="s">
        <v>1286</v>
      </c>
    </row>
    <row r="242" spans="2:35" x14ac:dyDescent="0.3">
      <c r="B242" s="93" t="s">
        <v>2056</v>
      </c>
      <c r="C242" s="8" t="s">
        <v>2057</v>
      </c>
      <c r="D242" s="9" t="s">
        <v>2058</v>
      </c>
      <c r="E242" s="88" t="s">
        <v>77</v>
      </c>
      <c r="F242" s="88" t="s">
        <v>131</v>
      </c>
      <c r="G242" s="88"/>
      <c r="H242" s="145" t="s">
        <v>2059</v>
      </c>
      <c r="I242" s="89" t="s">
        <v>337</v>
      </c>
      <c r="J242" s="89" t="s">
        <v>1236</v>
      </c>
      <c r="K242" s="89" t="s">
        <v>1236</v>
      </c>
      <c r="L242" s="89" t="s">
        <v>43</v>
      </c>
      <c r="M242" s="90">
        <v>45859</v>
      </c>
      <c r="N242" s="90">
        <v>45890</v>
      </c>
      <c r="O242" s="89"/>
      <c r="P242" s="89"/>
      <c r="Q242" s="89"/>
      <c r="R242" s="111"/>
      <c r="S242" s="111"/>
      <c r="T242" s="89"/>
      <c r="U242" s="89"/>
      <c r="V242" s="89"/>
      <c r="W242" s="89"/>
      <c r="X242" s="88"/>
      <c r="Y242" s="88"/>
      <c r="Z242" s="88"/>
      <c r="AA242" s="118"/>
      <c r="AB242" s="119"/>
      <c r="AC242" s="120"/>
      <c r="AD242" s="83">
        <f t="shared" si="2"/>
        <v>45890</v>
      </c>
      <c r="AE242" s="85" t="s">
        <v>1286</v>
      </c>
    </row>
    <row r="243" spans="2:35" x14ac:dyDescent="0.3">
      <c r="B243" s="7" t="s">
        <v>2060</v>
      </c>
      <c r="C243" s="8" t="s">
        <v>2061</v>
      </c>
      <c r="D243" s="9" t="s">
        <v>2062</v>
      </c>
      <c r="E243" s="88" t="s">
        <v>77</v>
      </c>
      <c r="F243" s="88" t="s">
        <v>131</v>
      </c>
      <c r="G243" s="88"/>
      <c r="H243" s="145" t="s">
        <v>2063</v>
      </c>
      <c r="I243" s="89" t="s">
        <v>1273</v>
      </c>
      <c r="J243" s="89" t="s">
        <v>1236</v>
      </c>
      <c r="K243" s="89" t="s">
        <v>1236</v>
      </c>
      <c r="L243" s="89" t="s">
        <v>43</v>
      </c>
      <c r="M243" s="90">
        <v>45859</v>
      </c>
      <c r="N243" s="90">
        <v>45890</v>
      </c>
      <c r="O243" s="89"/>
      <c r="P243" s="89"/>
      <c r="Q243" s="89"/>
      <c r="R243" s="111"/>
      <c r="S243" s="111"/>
      <c r="T243" s="89"/>
      <c r="U243" s="89"/>
      <c r="V243" s="89"/>
      <c r="W243" s="89"/>
      <c r="X243" s="88"/>
      <c r="Y243" s="88"/>
      <c r="Z243" s="88"/>
      <c r="AA243" s="118"/>
      <c r="AB243" s="119"/>
      <c r="AC243" s="120"/>
      <c r="AD243" s="83">
        <f t="shared" si="2"/>
        <v>45890</v>
      </c>
      <c r="AE243" s="85" t="s">
        <v>1286</v>
      </c>
    </row>
    <row r="244" spans="2:35" x14ac:dyDescent="0.3">
      <c r="B244" s="93" t="s">
        <v>2064</v>
      </c>
      <c r="C244" s="8" t="s">
        <v>2065</v>
      </c>
      <c r="D244" s="9" t="s">
        <v>2066</v>
      </c>
      <c r="E244" s="88" t="s">
        <v>77</v>
      </c>
      <c r="F244" s="88" t="s">
        <v>131</v>
      </c>
      <c r="G244" s="88"/>
      <c r="H244" s="145" t="s">
        <v>2067</v>
      </c>
      <c r="I244" s="89" t="s">
        <v>2068</v>
      </c>
      <c r="J244" s="89" t="s">
        <v>2069</v>
      </c>
      <c r="K244" s="89" t="s">
        <v>1236</v>
      </c>
      <c r="L244" s="89" t="s">
        <v>43</v>
      </c>
      <c r="M244" s="90">
        <v>45859</v>
      </c>
      <c r="N244" s="90">
        <v>45890</v>
      </c>
      <c r="O244" s="89"/>
      <c r="P244" s="89"/>
      <c r="Q244" s="89"/>
      <c r="R244" s="111"/>
      <c r="S244" s="111"/>
      <c r="T244" s="89"/>
      <c r="U244" s="89"/>
      <c r="V244" s="89"/>
      <c r="W244" s="89"/>
      <c r="X244" s="88"/>
      <c r="Y244" s="88"/>
      <c r="Z244" s="88"/>
      <c r="AA244" s="118"/>
      <c r="AB244" s="119"/>
      <c r="AC244" s="120"/>
      <c r="AD244" s="83">
        <f t="shared" si="2"/>
        <v>45890</v>
      </c>
      <c r="AE244" s="85" t="s">
        <v>1286</v>
      </c>
    </row>
    <row r="245" spans="2:35" x14ac:dyDescent="0.3">
      <c r="B245" s="7" t="s">
        <v>2070</v>
      </c>
      <c r="C245" s="8" t="s">
        <v>2071</v>
      </c>
      <c r="D245" s="9" t="s">
        <v>2072</v>
      </c>
      <c r="E245" s="88" t="s">
        <v>77</v>
      </c>
      <c r="F245" s="88" t="s">
        <v>131</v>
      </c>
      <c r="G245" s="88"/>
      <c r="H245" s="145" t="s">
        <v>2073</v>
      </c>
      <c r="I245" s="89" t="s">
        <v>2074</v>
      </c>
      <c r="J245" s="89" t="s">
        <v>773</v>
      </c>
      <c r="K245" s="89" t="s">
        <v>2035</v>
      </c>
      <c r="L245" s="89" t="s">
        <v>43</v>
      </c>
      <c r="M245" s="90">
        <v>45859</v>
      </c>
      <c r="N245" s="90">
        <v>45890</v>
      </c>
      <c r="O245" s="89"/>
      <c r="P245" s="89"/>
      <c r="Q245" s="89"/>
      <c r="R245" s="111"/>
      <c r="S245" s="111"/>
      <c r="T245" s="89"/>
      <c r="U245" s="89"/>
      <c r="V245" s="89"/>
      <c r="W245" s="89"/>
      <c r="X245" s="88"/>
      <c r="Y245" s="88"/>
      <c r="Z245" s="88"/>
      <c r="AA245" s="118"/>
      <c r="AB245" s="119"/>
      <c r="AC245" s="120"/>
      <c r="AD245" s="83">
        <f t="shared" si="2"/>
        <v>45890</v>
      </c>
      <c r="AE245" s="85" t="s">
        <v>1286</v>
      </c>
    </row>
    <row r="246" spans="2:35" x14ac:dyDescent="0.3">
      <c r="B246" s="7" t="s">
        <v>2075</v>
      </c>
      <c r="C246" s="8" t="s">
        <v>2076</v>
      </c>
      <c r="D246" s="9" t="s">
        <v>2077</v>
      </c>
      <c r="E246" s="88" t="s">
        <v>77</v>
      </c>
      <c r="F246" s="88" t="s">
        <v>131</v>
      </c>
      <c r="G246" s="88"/>
      <c r="H246" s="145" t="s">
        <v>2078</v>
      </c>
      <c r="I246" s="89" t="s">
        <v>2068</v>
      </c>
      <c r="J246" s="89" t="s">
        <v>2069</v>
      </c>
      <c r="K246" s="89" t="s">
        <v>2035</v>
      </c>
      <c r="L246" s="89" t="s">
        <v>43</v>
      </c>
      <c r="M246" s="90">
        <v>45860</v>
      </c>
      <c r="N246" s="90">
        <v>45891</v>
      </c>
      <c r="O246" s="89"/>
      <c r="P246" s="89"/>
      <c r="Q246" s="89"/>
      <c r="R246" s="111"/>
      <c r="S246" s="111"/>
      <c r="T246" s="89"/>
      <c r="U246" s="89"/>
      <c r="V246" s="89"/>
      <c r="W246" s="89"/>
      <c r="X246" s="88"/>
      <c r="Y246" s="88"/>
      <c r="Z246" s="88"/>
      <c r="AA246" s="118"/>
      <c r="AB246" s="119"/>
      <c r="AC246" s="120"/>
      <c r="AD246" s="83">
        <f t="shared" si="2"/>
        <v>45891</v>
      </c>
      <c r="AE246" s="85" t="s">
        <v>1286</v>
      </c>
    </row>
    <row r="247" spans="2:35" x14ac:dyDescent="0.3">
      <c r="B247" s="7" t="s">
        <v>2079</v>
      </c>
      <c r="C247" s="8" t="s">
        <v>2080</v>
      </c>
      <c r="D247" s="9" t="s">
        <v>2081</v>
      </c>
      <c r="E247" s="88" t="s">
        <v>77</v>
      </c>
      <c r="F247" s="88" t="s">
        <v>131</v>
      </c>
      <c r="G247" s="88"/>
      <c r="H247" s="145" t="s">
        <v>2082</v>
      </c>
      <c r="I247" s="89" t="s">
        <v>2083</v>
      </c>
      <c r="J247" s="89" t="s">
        <v>1236</v>
      </c>
      <c r="K247" s="89" t="s">
        <v>1236</v>
      </c>
      <c r="L247" s="89" t="s">
        <v>43</v>
      </c>
      <c r="M247" s="90">
        <v>45860</v>
      </c>
      <c r="N247" s="90">
        <v>45891</v>
      </c>
      <c r="O247" s="89"/>
      <c r="P247" s="89"/>
      <c r="Q247" s="89"/>
      <c r="R247" s="111"/>
      <c r="S247" s="111"/>
      <c r="T247" s="89"/>
      <c r="U247" s="89"/>
      <c r="V247" s="89"/>
      <c r="W247" s="89"/>
      <c r="X247" s="88"/>
      <c r="Y247" s="88"/>
      <c r="Z247" s="88"/>
      <c r="AA247" s="118"/>
      <c r="AB247" s="119"/>
      <c r="AC247" s="120"/>
      <c r="AD247" s="83">
        <f t="shared" si="2"/>
        <v>45891</v>
      </c>
      <c r="AE247" s="85" t="s">
        <v>1286</v>
      </c>
    </row>
    <row r="248" spans="2:35" x14ac:dyDescent="0.3">
      <c r="B248" s="7" t="s">
        <v>2084</v>
      </c>
      <c r="C248" s="8" t="s">
        <v>2085</v>
      </c>
      <c r="D248" s="9" t="s">
        <v>2086</v>
      </c>
      <c r="E248" s="88" t="s">
        <v>77</v>
      </c>
      <c r="F248" s="88" t="s">
        <v>131</v>
      </c>
      <c r="G248" s="88"/>
      <c r="H248" s="145" t="s">
        <v>2087</v>
      </c>
      <c r="I248" s="89" t="s">
        <v>2088</v>
      </c>
      <c r="J248" s="89" t="s">
        <v>2089</v>
      </c>
      <c r="K248" s="89" t="s">
        <v>1661</v>
      </c>
      <c r="L248" s="89" t="s">
        <v>43</v>
      </c>
      <c r="M248" s="90">
        <v>45860</v>
      </c>
      <c r="N248" s="90">
        <v>45891</v>
      </c>
      <c r="O248" s="89"/>
      <c r="P248" s="89"/>
      <c r="Q248" s="89"/>
      <c r="R248" s="111"/>
      <c r="S248" s="111"/>
      <c r="T248" s="89"/>
      <c r="U248" s="89"/>
      <c r="V248" s="89"/>
      <c r="W248" s="89"/>
      <c r="X248" s="88"/>
      <c r="Y248" s="88"/>
      <c r="Z248" s="88"/>
      <c r="AA248" s="118"/>
      <c r="AB248" s="119"/>
      <c r="AC248" s="120"/>
      <c r="AD248" s="83">
        <f t="shared" si="2"/>
        <v>45891</v>
      </c>
      <c r="AE248" s="85" t="s">
        <v>1286</v>
      </c>
    </row>
    <row r="249" spans="2:35" x14ac:dyDescent="0.3">
      <c r="B249" s="7" t="s">
        <v>2090</v>
      </c>
      <c r="C249" s="8" t="s">
        <v>2091</v>
      </c>
      <c r="D249" s="9" t="s">
        <v>2092</v>
      </c>
      <c r="E249" s="88" t="s">
        <v>77</v>
      </c>
      <c r="F249" s="88" t="s">
        <v>131</v>
      </c>
      <c r="G249" s="88"/>
      <c r="H249" s="145" t="s">
        <v>2093</v>
      </c>
      <c r="I249" s="89" t="s">
        <v>2094</v>
      </c>
      <c r="J249" s="89" t="s">
        <v>1236</v>
      </c>
      <c r="K249" s="89" t="s">
        <v>1236</v>
      </c>
      <c r="L249" s="89" t="s">
        <v>43</v>
      </c>
      <c r="M249" s="90">
        <v>45860</v>
      </c>
      <c r="N249" s="90">
        <v>45891</v>
      </c>
      <c r="O249" s="89"/>
      <c r="P249" s="89"/>
      <c r="Q249" s="89"/>
      <c r="R249" s="111"/>
      <c r="S249" s="111"/>
      <c r="T249" s="89"/>
      <c r="U249" s="89"/>
      <c r="V249" s="89"/>
      <c r="W249" s="89"/>
      <c r="X249" s="88"/>
      <c r="Y249" s="88"/>
      <c r="Z249" s="88"/>
      <c r="AA249" s="118"/>
      <c r="AB249" s="119"/>
      <c r="AC249" s="120"/>
      <c r="AD249" s="83">
        <f t="shared" si="2"/>
        <v>45891</v>
      </c>
      <c r="AE249" s="85" t="s">
        <v>1286</v>
      </c>
    </row>
    <row r="250" spans="2:35" x14ac:dyDescent="0.3">
      <c r="B250" s="7" t="s">
        <v>2095</v>
      </c>
      <c r="C250" s="8" t="s">
        <v>2096</v>
      </c>
      <c r="D250" s="9" t="s">
        <v>2097</v>
      </c>
      <c r="E250" s="88" t="s">
        <v>77</v>
      </c>
      <c r="F250" s="88" t="s">
        <v>131</v>
      </c>
      <c r="G250" s="88"/>
      <c r="H250" s="145" t="s">
        <v>2098</v>
      </c>
      <c r="I250" s="89" t="s">
        <v>73</v>
      </c>
      <c r="J250" s="89" t="s">
        <v>1236</v>
      </c>
      <c r="K250" s="89" t="s">
        <v>1236</v>
      </c>
      <c r="L250" s="89" t="s">
        <v>43</v>
      </c>
      <c r="M250" s="90">
        <v>45860</v>
      </c>
      <c r="N250" s="90">
        <v>45891</v>
      </c>
      <c r="O250" s="89"/>
      <c r="P250" s="89"/>
      <c r="Q250" s="89"/>
      <c r="R250" s="111"/>
      <c r="S250" s="111"/>
      <c r="T250" s="89"/>
      <c r="U250" s="89"/>
      <c r="V250" s="89"/>
      <c r="W250" s="89"/>
      <c r="X250" s="88"/>
      <c r="Y250" s="88"/>
      <c r="Z250" s="88"/>
      <c r="AA250" s="118"/>
      <c r="AB250" s="119"/>
      <c r="AC250" s="120"/>
      <c r="AD250" s="83">
        <f t="shared" si="2"/>
        <v>45891</v>
      </c>
      <c r="AE250" s="85" t="s">
        <v>1255</v>
      </c>
    </row>
    <row r="251" spans="2:35" x14ac:dyDescent="0.3">
      <c r="B251" s="121" t="s">
        <v>2099</v>
      </c>
      <c r="C251" s="8" t="s">
        <v>2100</v>
      </c>
      <c r="D251" s="154" t="s">
        <v>2101</v>
      </c>
      <c r="E251" s="122" t="s">
        <v>77</v>
      </c>
      <c r="F251" s="122" t="s">
        <v>131</v>
      </c>
      <c r="G251" s="122"/>
      <c r="H251" s="155" t="s">
        <v>2102</v>
      </c>
      <c r="I251" s="123" t="s">
        <v>244</v>
      </c>
      <c r="J251" s="123" t="s">
        <v>1408</v>
      </c>
      <c r="K251" s="123" t="s">
        <v>1236</v>
      </c>
      <c r="L251" s="123" t="s">
        <v>43</v>
      </c>
      <c r="M251" s="124">
        <v>45860</v>
      </c>
      <c r="N251" s="124">
        <v>45891</v>
      </c>
      <c r="O251" s="123"/>
      <c r="P251" s="123"/>
      <c r="Q251" s="123"/>
      <c r="R251" s="125"/>
      <c r="S251" s="125"/>
      <c r="T251" s="123"/>
      <c r="U251" s="123"/>
      <c r="V251" s="123"/>
      <c r="W251" s="123"/>
      <c r="X251" s="122"/>
      <c r="Y251" s="122"/>
      <c r="Z251" s="122"/>
      <c r="AA251" s="126"/>
      <c r="AB251" s="127"/>
      <c r="AC251" s="128"/>
      <c r="AD251" s="83">
        <f t="shared" si="2"/>
        <v>45891</v>
      </c>
      <c r="AE251" s="85" t="s">
        <v>1255</v>
      </c>
    </row>
    <row r="252" spans="2:35" x14ac:dyDescent="0.3">
      <c r="B252" s="129" t="s">
        <v>2103</v>
      </c>
      <c r="C252" s="8" t="s">
        <v>2104</v>
      </c>
      <c r="D252" s="156" t="s">
        <v>2105</v>
      </c>
      <c r="E252" s="120" t="s">
        <v>2106</v>
      </c>
      <c r="F252" s="120" t="s">
        <v>131</v>
      </c>
      <c r="G252" s="120"/>
      <c r="H252" s="157" t="s">
        <v>2107</v>
      </c>
      <c r="I252" s="130" t="s">
        <v>2108</v>
      </c>
      <c r="J252" s="130" t="s">
        <v>1214</v>
      </c>
      <c r="K252" s="130" t="s">
        <v>42</v>
      </c>
      <c r="L252" s="130" t="s">
        <v>43</v>
      </c>
      <c r="M252" s="131">
        <v>45870</v>
      </c>
      <c r="N252" s="131">
        <v>45900</v>
      </c>
      <c r="O252" s="130">
        <v>45930</v>
      </c>
      <c r="P252" s="130"/>
      <c r="Q252" s="130"/>
      <c r="R252" s="118"/>
      <c r="S252" s="118"/>
      <c r="T252" s="130"/>
      <c r="U252" s="130"/>
      <c r="V252" s="130"/>
      <c r="W252" s="130"/>
      <c r="X252" s="120"/>
      <c r="Y252" s="120"/>
      <c r="Z252" s="120"/>
      <c r="AA252" s="118"/>
      <c r="AB252" s="119"/>
      <c r="AC252" s="120"/>
      <c r="AD252" s="83">
        <f t="shared" si="2"/>
        <v>45930</v>
      </c>
      <c r="AE252" s="85" t="s">
        <v>1255</v>
      </c>
    </row>
    <row r="253" spans="2:35" x14ac:dyDescent="0.3">
      <c r="B253" s="129" t="s">
        <v>2109</v>
      </c>
      <c r="C253" s="8" t="s">
        <v>2110</v>
      </c>
      <c r="D253" s="156" t="s">
        <v>2111</v>
      </c>
      <c r="E253" s="120" t="s">
        <v>2106</v>
      </c>
      <c r="F253" s="120" t="s">
        <v>131</v>
      </c>
      <c r="G253" s="120"/>
      <c r="H253" s="157" t="s">
        <v>2112</v>
      </c>
      <c r="I253" s="130" t="s">
        <v>42</v>
      </c>
      <c r="J253" s="130" t="s">
        <v>42</v>
      </c>
      <c r="K253" s="130" t="s">
        <v>42</v>
      </c>
      <c r="L253" s="130" t="s">
        <v>43</v>
      </c>
      <c r="M253" s="131">
        <v>45870</v>
      </c>
      <c r="N253" s="131">
        <v>45900</v>
      </c>
      <c r="O253" s="130"/>
      <c r="P253" s="130"/>
      <c r="Q253" s="130"/>
      <c r="R253" s="118"/>
      <c r="S253" s="118"/>
      <c r="T253" s="130"/>
      <c r="U253" s="130"/>
      <c r="V253" s="130"/>
      <c r="W253" s="130"/>
      <c r="X253" s="120"/>
      <c r="Y253" s="120"/>
      <c r="Z253" s="120"/>
      <c r="AA253" s="118"/>
      <c r="AB253" s="119"/>
      <c r="AC253" s="120"/>
      <c r="AD253" s="83">
        <f t="shared" si="2"/>
        <v>45900</v>
      </c>
      <c r="AE253" s="85" t="s">
        <v>1255</v>
      </c>
    </row>
    <row r="254" spans="2:35" x14ac:dyDescent="0.3">
      <c r="B254" s="129" t="s">
        <v>2113</v>
      </c>
      <c r="C254" s="8" t="s">
        <v>2114</v>
      </c>
      <c r="D254" s="156" t="s">
        <v>2115</v>
      </c>
      <c r="E254" s="120" t="s">
        <v>2106</v>
      </c>
      <c r="F254" s="120" t="s">
        <v>131</v>
      </c>
      <c r="G254" s="120"/>
      <c r="H254" s="157" t="s">
        <v>2116</v>
      </c>
      <c r="I254" s="130" t="s">
        <v>1309</v>
      </c>
      <c r="J254" s="130" t="s">
        <v>42</v>
      </c>
      <c r="K254" s="130" t="s">
        <v>42</v>
      </c>
      <c r="L254" s="130" t="s">
        <v>43</v>
      </c>
      <c r="M254" s="131">
        <v>45870</v>
      </c>
      <c r="N254" s="131">
        <v>45900</v>
      </c>
      <c r="O254" s="130"/>
      <c r="P254" s="130"/>
      <c r="Q254" s="130"/>
      <c r="R254" s="118"/>
      <c r="S254" s="118"/>
      <c r="T254" s="130"/>
      <c r="U254" s="130"/>
      <c r="V254" s="130"/>
      <c r="W254" s="130"/>
      <c r="X254" s="120"/>
      <c r="Y254" s="120"/>
      <c r="Z254" s="120"/>
      <c r="AA254" s="118"/>
      <c r="AB254" s="119"/>
      <c r="AC254" s="120"/>
      <c r="AD254" s="83">
        <f t="shared" si="2"/>
        <v>45900</v>
      </c>
      <c r="AE254" s="85" t="s">
        <v>1255</v>
      </c>
    </row>
    <row r="255" spans="2:35" x14ac:dyDescent="0.3">
      <c r="B255" s="129" t="s">
        <v>2117</v>
      </c>
      <c r="C255" s="8" t="s">
        <v>2118</v>
      </c>
      <c r="D255" s="156" t="s">
        <v>2119</v>
      </c>
      <c r="E255" s="120" t="s">
        <v>2106</v>
      </c>
      <c r="F255" s="120" t="s">
        <v>131</v>
      </c>
      <c r="G255" s="120"/>
      <c r="H255" s="157" t="s">
        <v>2120</v>
      </c>
      <c r="I255" s="130" t="s">
        <v>42</v>
      </c>
      <c r="J255" s="130" t="s">
        <v>42</v>
      </c>
      <c r="K255" s="130" t="s">
        <v>42</v>
      </c>
      <c r="L255" s="130" t="s">
        <v>43</v>
      </c>
      <c r="M255" s="131">
        <v>45870</v>
      </c>
      <c r="N255" s="131">
        <v>45900</v>
      </c>
      <c r="O255" s="130"/>
      <c r="P255" s="130"/>
      <c r="Q255" s="130"/>
      <c r="R255" s="118"/>
      <c r="S255" s="118"/>
      <c r="T255" s="130"/>
      <c r="U255" s="130"/>
      <c r="V255" s="130"/>
      <c r="W255" s="130"/>
      <c r="X255" s="120"/>
      <c r="Y255" s="120"/>
      <c r="Z255" s="120"/>
      <c r="AA255" s="118"/>
      <c r="AB255" s="119"/>
      <c r="AC255" s="120"/>
      <c r="AD255" s="83">
        <f t="shared" si="2"/>
        <v>45900</v>
      </c>
      <c r="AE255" s="85" t="s">
        <v>1255</v>
      </c>
    </row>
    <row r="256" spans="2:35" x14ac:dyDescent="0.3">
      <c r="B256" s="7" t="s">
        <v>2121</v>
      </c>
      <c r="C256" s="8" t="s">
        <v>2122</v>
      </c>
      <c r="D256" s="19" t="s">
        <v>2123</v>
      </c>
      <c r="E256" s="8" t="s">
        <v>2124</v>
      </c>
      <c r="F256" s="8" t="s">
        <v>56</v>
      </c>
      <c r="H256" s="10" t="s">
        <v>2125</v>
      </c>
      <c r="I256" s="11" t="s">
        <v>50</v>
      </c>
      <c r="J256" s="11" t="s">
        <v>50</v>
      </c>
      <c r="K256" s="11" t="s">
        <v>50</v>
      </c>
      <c r="L256" s="11" t="s">
        <v>43</v>
      </c>
      <c r="M256" s="12">
        <v>1800</v>
      </c>
      <c r="N256" s="13">
        <v>0</v>
      </c>
      <c r="O256" s="13">
        <v>0</v>
      </c>
      <c r="P256" s="14">
        <v>45712</v>
      </c>
      <c r="Q256" s="11">
        <v>45808</v>
      </c>
      <c r="R256" s="11">
        <v>45900</v>
      </c>
      <c r="S256" s="11">
        <v>45991</v>
      </c>
      <c r="T256" s="11"/>
      <c r="U256" s="11"/>
      <c r="V256" s="11"/>
      <c r="W256" s="11"/>
      <c r="X256" s="8"/>
      <c r="Y256" s="8"/>
      <c r="Z256" s="8"/>
      <c r="AA256" s="8"/>
      <c r="AB256" s="8"/>
      <c r="AC256" s="8"/>
      <c r="AD256" s="11"/>
      <c r="AE256" s="11"/>
      <c r="AF256" s="11"/>
      <c r="AG256" s="11"/>
      <c r="AH256" s="11"/>
      <c r="AI256" s="83">
        <f>+MAX(P256:AH256)</f>
        <v>45991</v>
      </c>
    </row>
    <row r="257" spans="1:36" x14ac:dyDescent="0.3">
      <c r="B257" s="132" t="s">
        <v>2126</v>
      </c>
      <c r="C257" s="8" t="s">
        <v>2127</v>
      </c>
      <c r="D257" s="19" t="s">
        <v>2128</v>
      </c>
      <c r="E257" s="8" t="s">
        <v>1388</v>
      </c>
      <c r="F257" s="8" t="s">
        <v>115</v>
      </c>
      <c r="G257" s="10" t="s">
        <v>2129</v>
      </c>
      <c r="H257" s="11" t="s">
        <v>661</v>
      </c>
      <c r="I257" s="11" t="s">
        <v>661</v>
      </c>
      <c r="J257" s="11" t="s">
        <v>662</v>
      </c>
      <c r="K257" s="11" t="s">
        <v>51</v>
      </c>
      <c r="L257" s="12">
        <v>14500</v>
      </c>
      <c r="M257" s="13">
        <v>800</v>
      </c>
      <c r="N257" s="13">
        <v>800</v>
      </c>
      <c r="O257" s="14">
        <v>45627</v>
      </c>
      <c r="P257" s="11">
        <v>45716</v>
      </c>
      <c r="Q257" s="11">
        <v>45808</v>
      </c>
      <c r="R257" s="11">
        <v>45900</v>
      </c>
      <c r="S257" s="11">
        <v>45991</v>
      </c>
      <c r="T257" s="11"/>
      <c r="U257" s="11"/>
      <c r="V257" s="11"/>
      <c r="W257" s="8"/>
      <c r="X257" s="8"/>
      <c r="Y257" s="8"/>
      <c r="Z257" s="8"/>
      <c r="AA257" s="8"/>
      <c r="AB257" s="8"/>
      <c r="AC257" s="8"/>
      <c r="AD257" s="11"/>
      <c r="AE257" s="11"/>
      <c r="AF257" s="11"/>
      <c r="AG257" s="11"/>
      <c r="AH257" s="11"/>
    </row>
    <row r="258" spans="1:36" x14ac:dyDescent="0.3">
      <c r="B258" s="7" t="s">
        <v>2130</v>
      </c>
      <c r="C258" s="8" t="s">
        <v>2131</v>
      </c>
      <c r="D258" s="19" t="s">
        <v>2132</v>
      </c>
      <c r="E258" s="8" t="s">
        <v>2133</v>
      </c>
      <c r="F258" s="8" t="s">
        <v>115</v>
      </c>
      <c r="G258" s="10" t="s">
        <v>2134</v>
      </c>
      <c r="H258" s="11" t="s">
        <v>64</v>
      </c>
      <c r="I258" s="11" t="s">
        <v>65</v>
      </c>
      <c r="J258" s="11" t="s">
        <v>65</v>
      </c>
      <c r="K258" s="11" t="s">
        <v>51</v>
      </c>
      <c r="L258" s="12">
        <v>5500</v>
      </c>
      <c r="M258" s="13">
        <v>800</v>
      </c>
      <c r="N258" s="13">
        <v>800</v>
      </c>
      <c r="O258" s="14">
        <v>45719</v>
      </c>
      <c r="P258" s="11">
        <v>45808</v>
      </c>
      <c r="Q258" s="11">
        <v>45900</v>
      </c>
      <c r="R258" s="11">
        <v>45991</v>
      </c>
      <c r="S258" s="11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11"/>
      <c r="AE258" s="11"/>
      <c r="AF258" s="11"/>
      <c r="AG258" s="11"/>
      <c r="AH258" s="11"/>
    </row>
    <row r="259" spans="1:36" x14ac:dyDescent="0.3">
      <c r="B259" s="93" t="s">
        <v>2135</v>
      </c>
      <c r="C259" s="8" t="s">
        <v>2136</v>
      </c>
      <c r="D259" s="19" t="s">
        <v>2137</v>
      </c>
      <c r="E259" s="8" t="s">
        <v>61</v>
      </c>
      <c r="F259" s="8" t="s">
        <v>62</v>
      </c>
      <c r="G259" s="10" t="s">
        <v>2138</v>
      </c>
      <c r="H259" s="11" t="s">
        <v>697</v>
      </c>
      <c r="I259" s="11" t="s">
        <v>697</v>
      </c>
      <c r="J259" s="11" t="s">
        <v>618</v>
      </c>
      <c r="K259" s="11" t="s">
        <v>43</v>
      </c>
      <c r="L259" s="12">
        <v>4000</v>
      </c>
      <c r="M259" s="13">
        <v>500</v>
      </c>
      <c r="N259" s="13">
        <v>500</v>
      </c>
      <c r="O259" s="14">
        <v>45684</v>
      </c>
      <c r="P259" s="11">
        <v>45777</v>
      </c>
      <c r="Q259" s="11">
        <v>45869</v>
      </c>
      <c r="R259" s="11">
        <v>45961</v>
      </c>
      <c r="S259" s="11">
        <v>45991</v>
      </c>
      <c r="T259" s="11"/>
      <c r="U259" s="8"/>
      <c r="V259" s="8"/>
      <c r="W259" s="8"/>
      <c r="X259" s="8"/>
      <c r="Y259" s="8"/>
      <c r="Z259" s="8"/>
      <c r="AA259" s="8"/>
      <c r="AB259" s="8"/>
      <c r="AC259" s="8"/>
      <c r="AD259" s="11"/>
      <c r="AE259" s="11"/>
      <c r="AF259" s="11"/>
      <c r="AG259" s="11"/>
      <c r="AH259" s="11"/>
    </row>
    <row r="260" spans="1:36" x14ac:dyDescent="0.3">
      <c r="B260" s="7" t="s">
        <v>2139</v>
      </c>
      <c r="C260" s="8" t="s">
        <v>2140</v>
      </c>
      <c r="D260" s="9" t="s">
        <v>2141</v>
      </c>
      <c r="E260" s="8" t="s">
        <v>357</v>
      </c>
      <c r="F260" s="8" t="s">
        <v>197</v>
      </c>
      <c r="G260" s="10" t="s">
        <v>2142</v>
      </c>
      <c r="H260" s="11" t="s">
        <v>124</v>
      </c>
      <c r="I260" s="11" t="s">
        <v>125</v>
      </c>
      <c r="J260" s="11" t="s">
        <v>126</v>
      </c>
      <c r="K260" s="11" t="s">
        <v>43</v>
      </c>
      <c r="L260" s="12">
        <v>3000</v>
      </c>
      <c r="M260" s="13">
        <v>375</v>
      </c>
      <c r="N260" s="13">
        <v>0</v>
      </c>
      <c r="O260" s="14">
        <v>45828</v>
      </c>
      <c r="P260" s="11">
        <v>45930</v>
      </c>
      <c r="Q260" s="11">
        <v>46022</v>
      </c>
      <c r="R260" s="11"/>
      <c r="S260" s="11"/>
      <c r="T260" s="8"/>
      <c r="U260" s="8"/>
      <c r="V260" s="8"/>
      <c r="W260" s="8"/>
      <c r="X260" s="8"/>
      <c r="Y260" s="8"/>
      <c r="Z260" s="11"/>
      <c r="AA260" s="8"/>
      <c r="AB260" s="8"/>
      <c r="AC260" s="8"/>
      <c r="AD260" s="11"/>
      <c r="AE260" s="11"/>
      <c r="AF260" s="11"/>
      <c r="AG260" s="11"/>
      <c r="AH260" s="11"/>
    </row>
    <row r="261" spans="1:36" x14ac:dyDescent="0.3">
      <c r="B261" s="7" t="s">
        <v>2143</v>
      </c>
      <c r="C261" s="8" t="s">
        <v>2144</v>
      </c>
      <c r="D261" s="9" t="s">
        <v>2145</v>
      </c>
      <c r="E261" s="8" t="s">
        <v>196</v>
      </c>
      <c r="F261" s="8" t="s">
        <v>885</v>
      </c>
      <c r="G261" s="10" t="s">
        <v>2146</v>
      </c>
      <c r="H261" s="11" t="s">
        <v>41</v>
      </c>
      <c r="I261" s="11" t="s">
        <v>50</v>
      </c>
      <c r="J261" s="11" t="s">
        <v>50</v>
      </c>
      <c r="K261" s="11" t="s">
        <v>51</v>
      </c>
      <c r="L261" s="12">
        <v>4500</v>
      </c>
      <c r="M261" s="13">
        <v>400</v>
      </c>
      <c r="N261" s="13">
        <v>0</v>
      </c>
      <c r="O261" s="14">
        <v>45839</v>
      </c>
      <c r="P261" s="11">
        <v>45930</v>
      </c>
      <c r="Q261" s="11">
        <v>46022</v>
      </c>
      <c r="R261" s="11"/>
      <c r="S261" s="11"/>
      <c r="T261" s="11"/>
      <c r="U261" s="11"/>
      <c r="V261" s="8"/>
      <c r="W261" s="8"/>
      <c r="X261" s="8"/>
      <c r="Y261" s="8"/>
      <c r="Z261" s="8"/>
      <c r="AA261" s="8"/>
      <c r="AB261" s="8"/>
      <c r="AC261" s="8"/>
      <c r="AD261" s="11"/>
      <c r="AE261" s="11"/>
      <c r="AF261" s="11"/>
      <c r="AG261" s="11"/>
      <c r="AH261" s="11"/>
    </row>
    <row r="262" spans="1:36" x14ac:dyDescent="0.3">
      <c r="B262" s="7" t="s">
        <v>2147</v>
      </c>
      <c r="C262" s="8" t="s">
        <v>2148</v>
      </c>
      <c r="D262" s="9" t="s">
        <v>2149</v>
      </c>
      <c r="E262" s="8" t="s">
        <v>38</v>
      </c>
      <c r="F262" s="8" t="s">
        <v>39</v>
      </c>
      <c r="G262" s="10" t="s">
        <v>2150</v>
      </c>
      <c r="H262" s="11" t="s">
        <v>186</v>
      </c>
      <c r="I262" s="11" t="s">
        <v>50</v>
      </c>
      <c r="J262" s="11" t="s">
        <v>50</v>
      </c>
      <c r="K262" s="11" t="s">
        <v>43</v>
      </c>
      <c r="L262" s="12">
        <v>1970</v>
      </c>
      <c r="M262" s="13">
        <v>0</v>
      </c>
      <c r="N262" s="13">
        <v>0</v>
      </c>
      <c r="O262" s="14">
        <v>45939</v>
      </c>
      <c r="P262" s="11">
        <v>46022</v>
      </c>
      <c r="Q262" s="11"/>
      <c r="R262" s="11"/>
      <c r="S262" s="11"/>
      <c r="T262" s="8"/>
      <c r="U262" s="8"/>
      <c r="V262" s="8"/>
      <c r="W262" s="8"/>
      <c r="X262" s="8"/>
      <c r="Y262" s="8"/>
      <c r="Z262" s="11"/>
      <c r="AA262" s="8"/>
      <c r="AB262" s="8"/>
      <c r="AC262" s="8"/>
      <c r="AD262" s="11"/>
      <c r="AE262" s="11"/>
      <c r="AF262" s="11"/>
      <c r="AG262" s="11"/>
      <c r="AH262" s="11"/>
    </row>
    <row r="263" spans="1:36" x14ac:dyDescent="0.3">
      <c r="B263" s="87" t="s">
        <v>2151</v>
      </c>
      <c r="C263" s="8" t="s">
        <v>2152</v>
      </c>
      <c r="D263" s="9" t="s">
        <v>2153</v>
      </c>
      <c r="E263" s="8" t="s">
        <v>38</v>
      </c>
      <c r="F263" s="8" t="s">
        <v>39</v>
      </c>
      <c r="G263" s="10" t="s">
        <v>2154</v>
      </c>
      <c r="H263" s="11" t="s">
        <v>371</v>
      </c>
      <c r="I263" s="11" t="s">
        <v>50</v>
      </c>
      <c r="J263" s="11" t="s">
        <v>50</v>
      </c>
      <c r="K263" s="89"/>
      <c r="L263" s="12">
        <v>1970</v>
      </c>
      <c r="M263" s="13">
        <v>0</v>
      </c>
      <c r="N263" s="13">
        <v>0</v>
      </c>
      <c r="O263" s="133" t="s">
        <v>2155</v>
      </c>
      <c r="P263" s="84">
        <v>46022</v>
      </c>
      <c r="Q263" s="89"/>
      <c r="R263" s="89"/>
      <c r="S263" s="89"/>
      <c r="T263" s="111"/>
      <c r="U263" s="89"/>
      <c r="V263" s="89"/>
      <c r="W263" s="89"/>
      <c r="X263" s="89"/>
      <c r="Y263" s="88"/>
      <c r="Z263" s="88"/>
      <c r="AA263" s="88"/>
      <c r="AB263" s="111"/>
      <c r="AC263" s="134"/>
      <c r="AD263" s="88"/>
      <c r="AE263" s="88"/>
      <c r="AF263" s="88"/>
      <c r="AG263" s="88"/>
      <c r="AH263" s="88"/>
    </row>
    <row r="264" spans="1:36" s="16" customFormat="1" ht="16.95" customHeight="1" x14ac:dyDescent="0.3">
      <c r="A264" s="6" t="e">
        <f>#REF!+1</f>
        <v>#REF!</v>
      </c>
      <c r="B264" s="7" t="s">
        <v>2156</v>
      </c>
      <c r="C264" s="8" t="s">
        <v>2157</v>
      </c>
      <c r="D264" s="9" t="s">
        <v>2158</v>
      </c>
      <c r="E264" s="8" t="s">
        <v>61</v>
      </c>
      <c r="F264" s="8" t="s">
        <v>62</v>
      </c>
      <c r="G264" s="10" t="s">
        <v>2159</v>
      </c>
      <c r="H264" s="11" t="s">
        <v>2160</v>
      </c>
      <c r="I264" s="11" t="s">
        <v>73</v>
      </c>
      <c r="J264" s="11" t="s">
        <v>73</v>
      </c>
      <c r="K264" s="11" t="s">
        <v>43</v>
      </c>
      <c r="L264" s="12">
        <v>3000</v>
      </c>
      <c r="M264" s="13">
        <v>500</v>
      </c>
      <c r="N264" s="13">
        <v>500</v>
      </c>
      <c r="O264" s="14">
        <v>45404</v>
      </c>
      <c r="P264" s="11">
        <v>45504</v>
      </c>
      <c r="Q264" s="11">
        <v>45596</v>
      </c>
      <c r="R264" s="11">
        <v>45688</v>
      </c>
      <c r="S264" s="11">
        <v>45777</v>
      </c>
      <c r="T264" s="15">
        <v>45869</v>
      </c>
      <c r="U264" s="11">
        <v>45961</v>
      </c>
      <c r="V264" s="11">
        <v>46053</v>
      </c>
      <c r="W264" s="8"/>
      <c r="X264" s="8"/>
      <c r="Y264" s="8"/>
      <c r="Z264" s="11"/>
      <c r="AA264" s="8"/>
      <c r="AB264" s="8"/>
      <c r="AC264" s="8"/>
      <c r="AD264" s="11"/>
      <c r="AE264" s="11"/>
      <c r="AF264" s="11"/>
      <c r="AG264" s="11"/>
      <c r="AH264" s="11"/>
      <c r="AI264" s="11"/>
      <c r="AJ264" s="16" t="s">
        <v>975</v>
      </c>
    </row>
    <row r="265" spans="1:36" s="16" customFormat="1" ht="16.95" customHeight="1" x14ac:dyDescent="0.3">
      <c r="A265" s="6" t="e">
        <f>#REF!+1</f>
        <v>#REF!</v>
      </c>
      <c r="B265" s="7" t="s">
        <v>2161</v>
      </c>
      <c r="C265" s="8" t="s">
        <v>2162</v>
      </c>
      <c r="D265" s="9" t="s">
        <v>2163</v>
      </c>
      <c r="E265" s="8" t="s">
        <v>121</v>
      </c>
      <c r="F265" s="8" t="s">
        <v>935</v>
      </c>
      <c r="G265" s="10" t="s">
        <v>2164</v>
      </c>
      <c r="H265" s="11" t="s">
        <v>2165</v>
      </c>
      <c r="I265" s="11" t="s">
        <v>244</v>
      </c>
      <c r="J265" s="11" t="s">
        <v>245</v>
      </c>
      <c r="K265" s="11" t="s">
        <v>43</v>
      </c>
      <c r="L265" s="12">
        <v>4500</v>
      </c>
      <c r="M265" s="13">
        <v>500</v>
      </c>
      <c r="N265" s="13">
        <v>500</v>
      </c>
      <c r="O265" s="14">
        <v>45903</v>
      </c>
      <c r="P265" s="11">
        <v>45991</v>
      </c>
      <c r="Q265" s="11">
        <v>46022</v>
      </c>
      <c r="R265" s="11">
        <v>46053</v>
      </c>
      <c r="S265" s="11"/>
      <c r="T265" s="15"/>
      <c r="U265" s="11"/>
      <c r="V265" s="11"/>
      <c r="W265" s="8"/>
      <c r="X265" s="8"/>
      <c r="Y265" s="8"/>
      <c r="Z265" s="11"/>
      <c r="AA265" s="8"/>
      <c r="AB265" s="8"/>
      <c r="AC265" s="8"/>
      <c r="AD265" s="11"/>
      <c r="AE265" s="11"/>
      <c r="AF265" s="11"/>
      <c r="AG265" s="11"/>
      <c r="AH265" s="11"/>
      <c r="AI265" s="11">
        <f t="shared" ref="AI265:AI283" si="3">+MAX(O265:AH265)</f>
        <v>46053</v>
      </c>
      <c r="AJ265" s="16" t="s">
        <v>975</v>
      </c>
    </row>
    <row r="266" spans="1:36" s="16" customFormat="1" ht="16.95" customHeight="1" x14ac:dyDescent="0.3">
      <c r="A266" s="6" t="e">
        <f>#REF!+1</f>
        <v>#REF!</v>
      </c>
      <c r="B266" s="7" t="s">
        <v>2166</v>
      </c>
      <c r="C266" s="8" t="s">
        <v>2167</v>
      </c>
      <c r="D266" s="9" t="s">
        <v>2168</v>
      </c>
      <c r="E266" s="8" t="s">
        <v>77</v>
      </c>
      <c r="F266" s="8" t="s">
        <v>78</v>
      </c>
      <c r="G266" s="10" t="s">
        <v>2169</v>
      </c>
      <c r="H266" s="11" t="s">
        <v>616</v>
      </c>
      <c r="I266" s="11" t="s">
        <v>617</v>
      </c>
      <c r="J266" s="11" t="s">
        <v>618</v>
      </c>
      <c r="K266" s="11"/>
      <c r="L266" s="12">
        <v>3200</v>
      </c>
      <c r="M266" s="13">
        <v>800</v>
      </c>
      <c r="N266" s="13">
        <v>800</v>
      </c>
      <c r="O266" s="14" t="s">
        <v>2170</v>
      </c>
      <c r="P266" s="11">
        <v>46022</v>
      </c>
      <c r="Q266" s="11">
        <v>46053</v>
      </c>
      <c r="R266" s="11"/>
      <c r="S266" s="11"/>
      <c r="T266" s="15"/>
      <c r="U266" s="11"/>
      <c r="V266" s="11"/>
      <c r="W266" s="8"/>
      <c r="X266" s="8"/>
      <c r="Y266" s="8"/>
      <c r="Z266" s="11"/>
      <c r="AA266" s="8"/>
      <c r="AB266" s="8"/>
      <c r="AC266" s="8"/>
      <c r="AD266" s="11"/>
      <c r="AE266" s="11"/>
      <c r="AF266" s="11"/>
      <c r="AG266" s="11"/>
      <c r="AH266" s="11"/>
      <c r="AI266" s="11">
        <f t="shared" si="3"/>
        <v>46053</v>
      </c>
      <c r="AJ266" s="16" t="s">
        <v>975</v>
      </c>
    </row>
    <row r="267" spans="1:36" s="16" customFormat="1" ht="16.95" customHeight="1" x14ac:dyDescent="0.3">
      <c r="A267" s="6" t="e">
        <f>#REF!+1</f>
        <v>#REF!</v>
      </c>
      <c r="B267" s="7" t="s">
        <v>2171</v>
      </c>
      <c r="C267" s="8" t="s">
        <v>2172</v>
      </c>
      <c r="D267" s="9" t="s">
        <v>2173</v>
      </c>
      <c r="E267" s="8" t="s">
        <v>798</v>
      </c>
      <c r="F267" s="8" t="s">
        <v>310</v>
      </c>
      <c r="G267" s="10" t="s">
        <v>2174</v>
      </c>
      <c r="H267" s="11" t="s">
        <v>331</v>
      </c>
      <c r="I267" s="11" t="s">
        <v>331</v>
      </c>
      <c r="J267" s="11" t="s">
        <v>332</v>
      </c>
      <c r="K267" s="11" t="s">
        <v>51</v>
      </c>
      <c r="L267" s="12">
        <v>5567</v>
      </c>
      <c r="M267" s="13">
        <v>800</v>
      </c>
      <c r="N267" s="13">
        <v>800</v>
      </c>
      <c r="O267" s="14">
        <v>45627</v>
      </c>
      <c r="P267" s="11">
        <v>45688</v>
      </c>
      <c r="Q267" s="11">
        <v>45747</v>
      </c>
      <c r="R267" s="11">
        <v>45808</v>
      </c>
      <c r="S267" s="11">
        <v>45900</v>
      </c>
      <c r="T267" s="15">
        <v>45991</v>
      </c>
      <c r="U267" s="11">
        <v>46053</v>
      </c>
      <c r="V267" s="11"/>
      <c r="W267" s="8"/>
      <c r="X267" s="8"/>
      <c r="Y267" s="8"/>
      <c r="Z267" s="11"/>
      <c r="AA267" s="8"/>
      <c r="AB267" s="8"/>
      <c r="AC267" s="8"/>
      <c r="AD267" s="11"/>
      <c r="AE267" s="11"/>
      <c r="AF267" s="11"/>
      <c r="AG267" s="11"/>
      <c r="AH267" s="11"/>
      <c r="AI267" s="11">
        <f t="shared" si="3"/>
        <v>46053</v>
      </c>
      <c r="AJ267" s="16" t="s">
        <v>2175</v>
      </c>
    </row>
    <row r="268" spans="1:36" s="16" customFormat="1" ht="16.95" customHeight="1" x14ac:dyDescent="0.3">
      <c r="A268" s="6" t="e">
        <f>#REF!+1</f>
        <v>#REF!</v>
      </c>
      <c r="B268" s="7" t="s">
        <v>2176</v>
      </c>
      <c r="C268" s="8" t="s">
        <v>2177</v>
      </c>
      <c r="D268" s="9" t="s">
        <v>2178</v>
      </c>
      <c r="E268" s="8" t="s">
        <v>61</v>
      </c>
      <c r="F268" s="8" t="s">
        <v>62</v>
      </c>
      <c r="G268" s="10" t="s">
        <v>2179</v>
      </c>
      <c r="H268" s="11" t="s">
        <v>558</v>
      </c>
      <c r="I268" s="11" t="s">
        <v>73</v>
      </c>
      <c r="J268" s="11" t="s">
        <v>73</v>
      </c>
      <c r="K268" s="11" t="s">
        <v>43</v>
      </c>
      <c r="L268" s="12">
        <v>3500</v>
      </c>
      <c r="M268" s="13">
        <v>500</v>
      </c>
      <c r="N268" s="13">
        <v>500</v>
      </c>
      <c r="O268" s="14">
        <v>45677</v>
      </c>
      <c r="P268" s="11">
        <v>45777</v>
      </c>
      <c r="Q268" s="11">
        <v>45869</v>
      </c>
      <c r="R268" s="11">
        <v>45961</v>
      </c>
      <c r="S268" s="11">
        <v>46053</v>
      </c>
      <c r="T268" s="15"/>
      <c r="U268" s="11"/>
      <c r="V268" s="11"/>
      <c r="W268" s="8"/>
      <c r="X268" s="8"/>
      <c r="Y268" s="8"/>
      <c r="Z268" s="11"/>
      <c r="AA268" s="8"/>
      <c r="AB268" s="8"/>
      <c r="AC268" s="8"/>
      <c r="AD268" s="11"/>
      <c r="AE268" s="11"/>
      <c r="AF268" s="11"/>
      <c r="AG268" s="11"/>
      <c r="AH268" s="11"/>
      <c r="AI268" s="11">
        <f t="shared" si="3"/>
        <v>46053</v>
      </c>
      <c r="AJ268" s="16" t="s">
        <v>975</v>
      </c>
    </row>
    <row r="269" spans="1:36" s="16" customFormat="1" ht="16.95" customHeight="1" x14ac:dyDescent="0.3">
      <c r="A269" s="6" t="e">
        <f>#REF!+1</f>
        <v>#REF!</v>
      </c>
      <c r="B269" s="7" t="s">
        <v>2180</v>
      </c>
      <c r="C269" s="8" t="s">
        <v>2181</v>
      </c>
      <c r="D269" s="9" t="s">
        <v>2182</v>
      </c>
      <c r="E269" s="8" t="s">
        <v>77</v>
      </c>
      <c r="F269" s="8" t="s">
        <v>78</v>
      </c>
      <c r="G269" s="10" t="s">
        <v>2183</v>
      </c>
      <c r="H269" s="11" t="s">
        <v>2184</v>
      </c>
      <c r="I269" s="11" t="s">
        <v>431</v>
      </c>
      <c r="J269" s="11" t="s">
        <v>50</v>
      </c>
      <c r="K269" s="11" t="s">
        <v>43</v>
      </c>
      <c r="L269" s="12">
        <v>3250</v>
      </c>
      <c r="M269" s="13">
        <v>0</v>
      </c>
      <c r="N269" s="13">
        <v>0</v>
      </c>
      <c r="O269" s="14">
        <v>45947</v>
      </c>
      <c r="P269" s="11">
        <v>46022</v>
      </c>
      <c r="Q269" s="11">
        <v>46053</v>
      </c>
      <c r="R269" s="11"/>
      <c r="S269" s="11"/>
      <c r="T269" s="15"/>
      <c r="U269" s="11"/>
      <c r="V269" s="11"/>
      <c r="W269" s="8"/>
      <c r="X269" s="8"/>
      <c r="Y269" s="8"/>
      <c r="Z269" s="11"/>
      <c r="AA269" s="8"/>
      <c r="AB269" s="8"/>
      <c r="AC269" s="8"/>
      <c r="AD269" s="11"/>
      <c r="AE269" s="11"/>
      <c r="AF269" s="11"/>
      <c r="AG269" s="11"/>
      <c r="AH269" s="11"/>
      <c r="AI269" s="11">
        <f t="shared" si="3"/>
        <v>46053</v>
      </c>
      <c r="AJ269" s="16" t="s">
        <v>975</v>
      </c>
    </row>
    <row r="270" spans="1:36" s="16" customFormat="1" ht="16.95" customHeight="1" x14ac:dyDescent="0.3">
      <c r="A270" s="6" t="e">
        <f>#REF!+1</f>
        <v>#REF!</v>
      </c>
      <c r="B270" s="7" t="s">
        <v>2185</v>
      </c>
      <c r="C270" s="8" t="s">
        <v>2186</v>
      </c>
      <c r="D270" s="9" t="s">
        <v>2187</v>
      </c>
      <c r="E270" s="8" t="s">
        <v>804</v>
      </c>
      <c r="F270" s="8" t="s">
        <v>197</v>
      </c>
      <c r="G270" s="10" t="s">
        <v>2188</v>
      </c>
      <c r="H270" s="11" t="s">
        <v>2189</v>
      </c>
      <c r="I270" s="11" t="s">
        <v>2190</v>
      </c>
      <c r="J270" s="11" t="s">
        <v>159</v>
      </c>
      <c r="K270" s="11" t="s">
        <v>43</v>
      </c>
      <c r="L270" s="12">
        <v>1800</v>
      </c>
      <c r="M270" s="13">
        <v>300</v>
      </c>
      <c r="N270" s="13">
        <v>0</v>
      </c>
      <c r="O270" s="14">
        <v>45783</v>
      </c>
      <c r="P270" s="11">
        <v>45869</v>
      </c>
      <c r="Q270" s="11">
        <v>45961</v>
      </c>
      <c r="R270" s="11">
        <v>46053</v>
      </c>
      <c r="S270" s="11"/>
      <c r="T270" s="15"/>
      <c r="U270" s="11"/>
      <c r="V270" s="11"/>
      <c r="W270" s="8"/>
      <c r="X270" s="8"/>
      <c r="Y270" s="8"/>
      <c r="Z270" s="11"/>
      <c r="AA270" s="8"/>
      <c r="AB270" s="8"/>
      <c r="AC270" s="8"/>
      <c r="AD270" s="11"/>
      <c r="AE270" s="11"/>
      <c r="AF270" s="11"/>
      <c r="AG270" s="11"/>
      <c r="AH270" s="11"/>
      <c r="AI270" s="11">
        <f t="shared" si="3"/>
        <v>46053</v>
      </c>
      <c r="AJ270" s="16" t="s">
        <v>975</v>
      </c>
    </row>
    <row r="271" spans="1:36" s="16" customFormat="1" ht="16.95" customHeight="1" x14ac:dyDescent="0.3">
      <c r="A271" s="6" t="e">
        <f>#REF!+1</f>
        <v>#REF!</v>
      </c>
      <c r="B271" s="7" t="s">
        <v>2191</v>
      </c>
      <c r="C271" s="8" t="s">
        <v>2192</v>
      </c>
      <c r="D271" s="9" t="s">
        <v>2193</v>
      </c>
      <c r="E271" s="8" t="s">
        <v>706</v>
      </c>
      <c r="F271" s="8" t="s">
        <v>78</v>
      </c>
      <c r="G271" s="10" t="s">
        <v>2194</v>
      </c>
      <c r="H271" s="11" t="s">
        <v>312</v>
      </c>
      <c r="I271" s="11" t="s">
        <v>313</v>
      </c>
      <c r="J271" s="11" t="s">
        <v>314</v>
      </c>
      <c r="K271" s="11"/>
      <c r="L271" s="12">
        <v>1900</v>
      </c>
      <c r="M271" s="13">
        <v>800</v>
      </c>
      <c r="N271" s="13">
        <v>800</v>
      </c>
      <c r="O271" s="14" t="s">
        <v>2170</v>
      </c>
      <c r="P271" s="11">
        <v>46022</v>
      </c>
      <c r="Q271" s="11">
        <v>46053</v>
      </c>
      <c r="R271" s="11"/>
      <c r="S271" s="11"/>
      <c r="T271" s="15"/>
      <c r="U271" s="11"/>
      <c r="V271" s="11"/>
      <c r="W271" s="8"/>
      <c r="X271" s="8"/>
      <c r="Y271" s="8"/>
      <c r="Z271" s="11"/>
      <c r="AA271" s="8"/>
      <c r="AB271" s="8"/>
      <c r="AC271" s="8"/>
      <c r="AD271" s="11"/>
      <c r="AE271" s="11"/>
      <c r="AF271" s="11"/>
      <c r="AG271" s="11"/>
      <c r="AH271" s="11"/>
      <c r="AI271" s="11">
        <f t="shared" si="3"/>
        <v>46053</v>
      </c>
      <c r="AJ271" s="16" t="s">
        <v>975</v>
      </c>
    </row>
    <row r="272" spans="1:36" s="16" customFormat="1" ht="16.95" customHeight="1" x14ac:dyDescent="0.3">
      <c r="A272" s="6" t="e">
        <f>#REF!+1</f>
        <v>#REF!</v>
      </c>
      <c r="B272" s="7" t="s">
        <v>1804</v>
      </c>
      <c r="C272" s="8" t="s">
        <v>2195</v>
      </c>
      <c r="D272" s="9"/>
      <c r="E272" s="8" t="s">
        <v>108</v>
      </c>
      <c r="F272" s="8" t="s">
        <v>56</v>
      </c>
      <c r="G272" s="10"/>
      <c r="H272" s="11"/>
      <c r="I272" s="11"/>
      <c r="J272" s="11"/>
      <c r="K272" s="11"/>
      <c r="L272" s="12">
        <v>1800</v>
      </c>
      <c r="M272" s="13">
        <v>0</v>
      </c>
      <c r="N272" s="13">
        <v>0</v>
      </c>
      <c r="O272" s="14">
        <v>45975</v>
      </c>
      <c r="P272" s="11">
        <v>46053</v>
      </c>
      <c r="Q272" s="11"/>
      <c r="R272" s="11"/>
      <c r="S272" s="11"/>
      <c r="T272" s="15"/>
      <c r="U272" s="11"/>
      <c r="V272" s="11"/>
      <c r="W272" s="8"/>
      <c r="X272" s="8"/>
      <c r="Y272" s="8"/>
      <c r="Z272" s="11"/>
      <c r="AA272" s="8"/>
      <c r="AB272" s="8"/>
      <c r="AC272" s="8"/>
      <c r="AD272" s="11"/>
      <c r="AE272" s="11"/>
      <c r="AF272" s="11"/>
      <c r="AG272" s="11"/>
      <c r="AH272" s="11"/>
      <c r="AI272" s="11">
        <f t="shared" si="3"/>
        <v>46053</v>
      </c>
      <c r="AJ272" s="16" t="s">
        <v>975</v>
      </c>
    </row>
    <row r="273" spans="1:36" s="16" customFormat="1" ht="16.95" customHeight="1" x14ac:dyDescent="0.3">
      <c r="A273" s="6" t="e">
        <f>#REF!+1</f>
        <v>#REF!</v>
      </c>
      <c r="B273" s="7" t="s">
        <v>2196</v>
      </c>
      <c r="C273" s="8" t="s">
        <v>2197</v>
      </c>
      <c r="D273" s="9" t="s">
        <v>2198</v>
      </c>
      <c r="E273" s="8" t="s">
        <v>706</v>
      </c>
      <c r="F273" s="8" t="s">
        <v>78</v>
      </c>
      <c r="G273" s="10" t="s">
        <v>2199</v>
      </c>
      <c r="H273" s="11" t="s">
        <v>2200</v>
      </c>
      <c r="I273" s="11" t="s">
        <v>431</v>
      </c>
      <c r="J273" s="11" t="s">
        <v>50</v>
      </c>
      <c r="K273" s="11" t="s">
        <v>43</v>
      </c>
      <c r="L273" s="12">
        <v>2200</v>
      </c>
      <c r="M273" s="13">
        <v>0</v>
      </c>
      <c r="N273" s="13">
        <v>0</v>
      </c>
      <c r="O273" s="14">
        <v>45947</v>
      </c>
      <c r="P273" s="11">
        <v>46022</v>
      </c>
      <c r="Q273" s="11">
        <v>46053</v>
      </c>
      <c r="R273" s="11"/>
      <c r="S273" s="11"/>
      <c r="T273" s="15"/>
      <c r="U273" s="11"/>
      <c r="V273" s="11"/>
      <c r="W273" s="8"/>
      <c r="X273" s="8"/>
      <c r="Y273" s="8"/>
      <c r="Z273" s="11"/>
      <c r="AA273" s="8"/>
      <c r="AB273" s="8"/>
      <c r="AC273" s="8"/>
      <c r="AD273" s="11"/>
      <c r="AE273" s="11"/>
      <c r="AF273" s="11"/>
      <c r="AG273" s="11"/>
      <c r="AH273" s="11"/>
      <c r="AI273" s="11">
        <f t="shared" si="3"/>
        <v>46053</v>
      </c>
      <c r="AJ273" s="16" t="s">
        <v>975</v>
      </c>
    </row>
    <row r="274" spans="1:36" s="16" customFormat="1" ht="16.95" customHeight="1" x14ac:dyDescent="0.3">
      <c r="A274" s="6" t="e">
        <f>#REF!+1</f>
        <v>#REF!</v>
      </c>
      <c r="B274" s="7">
        <v>48632844</v>
      </c>
      <c r="C274" s="8" t="s">
        <v>2201</v>
      </c>
      <c r="D274" s="9"/>
      <c r="E274" s="8" t="s">
        <v>61</v>
      </c>
      <c r="F274" s="8" t="s">
        <v>62</v>
      </c>
      <c r="G274" s="10" t="s">
        <v>2202</v>
      </c>
      <c r="H274" s="11" t="s">
        <v>337</v>
      </c>
      <c r="I274" s="11" t="s">
        <v>73</v>
      </c>
      <c r="J274" s="11" t="s">
        <v>73</v>
      </c>
      <c r="K274" s="11" t="s">
        <v>147</v>
      </c>
      <c r="L274" s="12">
        <v>4000</v>
      </c>
      <c r="M274" s="13">
        <v>500</v>
      </c>
      <c r="N274" s="13">
        <v>500</v>
      </c>
      <c r="O274" s="14">
        <v>45994</v>
      </c>
      <c r="P274" s="11">
        <v>46053</v>
      </c>
      <c r="Q274" s="11"/>
      <c r="R274" s="11"/>
      <c r="S274" s="11"/>
      <c r="T274" s="15"/>
      <c r="U274" s="11"/>
      <c r="V274" s="11"/>
      <c r="W274" s="8"/>
      <c r="X274" s="8"/>
      <c r="Y274" s="8"/>
      <c r="Z274" s="11"/>
      <c r="AA274" s="8"/>
      <c r="AB274" s="8"/>
      <c r="AC274" s="8"/>
      <c r="AD274" s="11"/>
      <c r="AE274" s="11"/>
      <c r="AF274" s="11"/>
      <c r="AG274" s="11"/>
      <c r="AH274" s="11"/>
      <c r="AI274" s="11">
        <f t="shared" si="3"/>
        <v>46053</v>
      </c>
      <c r="AJ274" s="16" t="s">
        <v>975</v>
      </c>
    </row>
    <row r="275" spans="1:36" s="16" customFormat="1" ht="16.95" customHeight="1" x14ac:dyDescent="0.3">
      <c r="A275" s="6" t="e">
        <f>#REF!+1</f>
        <v>#REF!</v>
      </c>
      <c r="B275" s="7" t="s">
        <v>2203</v>
      </c>
      <c r="C275" s="8" t="s">
        <v>2204</v>
      </c>
      <c r="D275" s="9" t="s">
        <v>2205</v>
      </c>
      <c r="E275" s="8" t="s">
        <v>38</v>
      </c>
      <c r="F275" s="8" t="s">
        <v>131</v>
      </c>
      <c r="G275" s="10" t="s">
        <v>2206</v>
      </c>
      <c r="H275" s="11" t="s">
        <v>751</v>
      </c>
      <c r="I275" s="11" t="s">
        <v>50</v>
      </c>
      <c r="J275" s="11" t="s">
        <v>50</v>
      </c>
      <c r="K275" s="11" t="s">
        <v>43</v>
      </c>
      <c r="L275" s="12">
        <v>1970</v>
      </c>
      <c r="M275" s="13">
        <v>0</v>
      </c>
      <c r="N275" s="13">
        <v>0</v>
      </c>
      <c r="O275" s="14">
        <v>45936</v>
      </c>
      <c r="P275" s="11">
        <v>46022</v>
      </c>
      <c r="Q275" s="11">
        <v>46053</v>
      </c>
      <c r="R275" s="11"/>
      <c r="S275" s="11"/>
      <c r="T275" s="15"/>
      <c r="U275" s="11"/>
      <c r="V275" s="11"/>
      <c r="W275" s="8"/>
      <c r="X275" s="8"/>
      <c r="Y275" s="8"/>
      <c r="Z275" s="11"/>
      <c r="AA275" s="8"/>
      <c r="AB275" s="8"/>
      <c r="AC275" s="8"/>
      <c r="AD275" s="11"/>
      <c r="AE275" s="11"/>
      <c r="AF275" s="11"/>
      <c r="AG275" s="11"/>
      <c r="AH275" s="11"/>
      <c r="AI275" s="11">
        <f t="shared" si="3"/>
        <v>46053</v>
      </c>
      <c r="AJ275" s="16" t="s">
        <v>975</v>
      </c>
    </row>
    <row r="276" spans="1:36" s="16" customFormat="1" ht="16.95" customHeight="1" x14ac:dyDescent="0.3">
      <c r="A276" s="6" t="e">
        <f>#REF!+1</f>
        <v>#REF!</v>
      </c>
      <c r="B276" s="7" t="s">
        <v>2207</v>
      </c>
      <c r="C276" s="8" t="s">
        <v>2208</v>
      </c>
      <c r="D276" s="9" t="s">
        <v>2209</v>
      </c>
      <c r="E276" s="8" t="s">
        <v>2210</v>
      </c>
      <c r="F276" s="8" t="s">
        <v>115</v>
      </c>
      <c r="G276" s="10" t="s">
        <v>2211</v>
      </c>
      <c r="H276" s="11" t="s">
        <v>570</v>
      </c>
      <c r="I276" s="11" t="s">
        <v>125</v>
      </c>
      <c r="J276" s="11" t="s">
        <v>126</v>
      </c>
      <c r="K276" s="11" t="s">
        <v>43</v>
      </c>
      <c r="L276" s="12">
        <v>7000</v>
      </c>
      <c r="M276" s="13">
        <v>800</v>
      </c>
      <c r="N276" s="13">
        <v>800</v>
      </c>
      <c r="O276" s="14">
        <v>45413</v>
      </c>
      <c r="P276" s="11">
        <v>45504</v>
      </c>
      <c r="Q276" s="11">
        <v>45596</v>
      </c>
      <c r="R276" s="11">
        <v>45688</v>
      </c>
      <c r="S276" s="11">
        <v>45777</v>
      </c>
      <c r="T276" s="15">
        <v>45869</v>
      </c>
      <c r="U276" s="11">
        <v>45961</v>
      </c>
      <c r="V276" s="11">
        <v>46053</v>
      </c>
      <c r="W276" s="8"/>
      <c r="X276" s="8"/>
      <c r="Y276" s="8"/>
      <c r="Z276" s="11"/>
      <c r="AA276" s="8"/>
      <c r="AB276" s="8"/>
      <c r="AC276" s="8"/>
      <c r="AD276" s="11"/>
      <c r="AE276" s="11"/>
      <c r="AF276" s="11"/>
      <c r="AG276" s="11"/>
      <c r="AH276" s="11"/>
      <c r="AI276" s="11">
        <f t="shared" si="3"/>
        <v>46053</v>
      </c>
      <c r="AJ276" s="16" t="s">
        <v>2175</v>
      </c>
    </row>
    <row r="277" spans="1:36" s="16" customFormat="1" ht="16.95" customHeight="1" x14ac:dyDescent="0.3">
      <c r="A277" s="6" t="e">
        <f>#REF!+1</f>
        <v>#REF!</v>
      </c>
      <c r="B277" s="7" t="s">
        <v>2212</v>
      </c>
      <c r="C277" s="8" t="s">
        <v>2213</v>
      </c>
      <c r="D277" s="9" t="s">
        <v>2214</v>
      </c>
      <c r="E277" s="8" t="s">
        <v>1546</v>
      </c>
      <c r="F277" s="8" t="s">
        <v>62</v>
      </c>
      <c r="G277" s="10" t="s">
        <v>2215</v>
      </c>
      <c r="H277" s="11" t="s">
        <v>276</v>
      </c>
      <c r="I277" s="11" t="s">
        <v>73</v>
      </c>
      <c r="J277" s="11" t="s">
        <v>73</v>
      </c>
      <c r="K277" s="11" t="s">
        <v>43</v>
      </c>
      <c r="L277" s="12">
        <v>4000</v>
      </c>
      <c r="M277" s="13">
        <v>800</v>
      </c>
      <c r="N277" s="13">
        <v>800</v>
      </c>
      <c r="O277" s="14">
        <v>45435</v>
      </c>
      <c r="P277" s="11">
        <v>45535</v>
      </c>
      <c r="Q277" s="11">
        <v>45626</v>
      </c>
      <c r="R277" s="11">
        <v>45716</v>
      </c>
      <c r="S277" s="11">
        <v>45808</v>
      </c>
      <c r="T277" s="15">
        <v>45900</v>
      </c>
      <c r="U277" s="11">
        <v>45961</v>
      </c>
      <c r="V277" s="11">
        <v>46053</v>
      </c>
      <c r="W277" s="8"/>
      <c r="X277" s="8"/>
      <c r="Y277" s="8"/>
      <c r="Z277" s="11"/>
      <c r="AA277" s="8"/>
      <c r="AB277" s="8"/>
      <c r="AC277" s="8"/>
      <c r="AD277" s="11"/>
      <c r="AE277" s="11"/>
      <c r="AF277" s="11"/>
      <c r="AG277" s="11"/>
      <c r="AH277" s="11"/>
      <c r="AI277" s="11">
        <f t="shared" si="3"/>
        <v>46053</v>
      </c>
      <c r="AJ277" s="16" t="s">
        <v>975</v>
      </c>
    </row>
    <row r="278" spans="1:36" s="16" customFormat="1" ht="16.95" customHeight="1" x14ac:dyDescent="0.3">
      <c r="A278" s="6" t="e">
        <f>#REF!+1</f>
        <v>#REF!</v>
      </c>
      <c r="B278" s="7" t="s">
        <v>2216</v>
      </c>
      <c r="C278" s="8" t="s">
        <v>2217</v>
      </c>
      <c r="D278" s="9" t="s">
        <v>2218</v>
      </c>
      <c r="E278" s="8" t="s">
        <v>38</v>
      </c>
      <c r="F278" s="8" t="s">
        <v>131</v>
      </c>
      <c r="G278" s="10" t="s">
        <v>2219</v>
      </c>
      <c r="H278" s="11" t="s">
        <v>1309</v>
      </c>
      <c r="I278" s="11" t="s">
        <v>50</v>
      </c>
      <c r="J278" s="11" t="s">
        <v>42</v>
      </c>
      <c r="K278" s="11" t="s">
        <v>43</v>
      </c>
      <c r="L278" s="12">
        <v>1970</v>
      </c>
      <c r="M278" s="13"/>
      <c r="N278" s="13"/>
      <c r="O278" s="14">
        <v>45972</v>
      </c>
      <c r="P278" s="11">
        <v>46022</v>
      </c>
      <c r="Q278" s="11">
        <v>46053</v>
      </c>
      <c r="R278" s="11"/>
      <c r="S278" s="11"/>
      <c r="T278" s="15"/>
      <c r="U278" s="11"/>
      <c r="V278" s="11"/>
      <c r="W278" s="8"/>
      <c r="X278" s="8"/>
      <c r="Y278" s="8"/>
      <c r="Z278" s="11"/>
      <c r="AA278" s="8"/>
      <c r="AB278" s="8"/>
      <c r="AC278" s="8"/>
      <c r="AD278" s="11"/>
      <c r="AE278" s="11"/>
      <c r="AF278" s="11"/>
      <c r="AG278" s="11"/>
      <c r="AH278" s="11"/>
      <c r="AI278" s="11">
        <f t="shared" si="3"/>
        <v>46053</v>
      </c>
      <c r="AJ278" s="16" t="s">
        <v>2175</v>
      </c>
    </row>
    <row r="279" spans="1:36" s="16" customFormat="1" ht="16.95" customHeight="1" x14ac:dyDescent="0.3">
      <c r="A279" s="6" t="e">
        <f>#REF!+1</f>
        <v>#REF!</v>
      </c>
      <c r="B279" s="7" t="s">
        <v>2220</v>
      </c>
      <c r="C279" s="135" t="s">
        <v>2221</v>
      </c>
      <c r="D279" s="9" t="s">
        <v>2222</v>
      </c>
      <c r="E279" s="8" t="s">
        <v>61</v>
      </c>
      <c r="F279" s="8" t="s">
        <v>507</v>
      </c>
      <c r="G279" s="10" t="s">
        <v>2223</v>
      </c>
      <c r="H279" s="11" t="s">
        <v>426</v>
      </c>
      <c r="I279" s="11" t="s">
        <v>125</v>
      </c>
      <c r="J279" s="11" t="s">
        <v>126</v>
      </c>
      <c r="K279" s="11" t="s">
        <v>43</v>
      </c>
      <c r="L279" s="12">
        <v>4500</v>
      </c>
      <c r="M279" s="13">
        <v>500</v>
      </c>
      <c r="N279" s="13">
        <v>500</v>
      </c>
      <c r="O279" s="14" t="s">
        <v>2224</v>
      </c>
      <c r="P279" s="11">
        <v>46053</v>
      </c>
      <c r="Q279" s="11"/>
      <c r="R279" s="11"/>
      <c r="S279" s="11"/>
      <c r="T279" s="15"/>
      <c r="U279" s="11"/>
      <c r="V279" s="11"/>
      <c r="W279" s="8"/>
      <c r="X279" s="8"/>
      <c r="Y279" s="8"/>
      <c r="Z279" s="11"/>
      <c r="AA279" s="8"/>
      <c r="AB279" s="8"/>
      <c r="AC279" s="8"/>
      <c r="AD279" s="11"/>
      <c r="AE279" s="11"/>
      <c r="AF279" s="11"/>
      <c r="AG279" s="11"/>
      <c r="AH279" s="11"/>
      <c r="AI279" s="11">
        <f t="shared" si="3"/>
        <v>46053</v>
      </c>
      <c r="AJ279" s="16" t="s">
        <v>975</v>
      </c>
    </row>
    <row r="280" spans="1:36" s="16" customFormat="1" ht="16.95" customHeight="1" x14ac:dyDescent="0.3">
      <c r="A280" s="6" t="e">
        <f>#REF!+1</f>
        <v>#REF!</v>
      </c>
      <c r="B280" s="7" t="s">
        <v>2225</v>
      </c>
      <c r="C280" s="8" t="s">
        <v>2226</v>
      </c>
      <c r="D280" s="9" t="s">
        <v>2227</v>
      </c>
      <c r="E280" s="8" t="s">
        <v>2228</v>
      </c>
      <c r="F280" s="8" t="s">
        <v>549</v>
      </c>
      <c r="G280" s="10" t="s">
        <v>2229</v>
      </c>
      <c r="H280" s="11" t="s">
        <v>2230</v>
      </c>
      <c r="I280" s="11" t="s">
        <v>73</v>
      </c>
      <c r="J280" s="11" t="s">
        <v>73</v>
      </c>
      <c r="K280" s="11" t="s">
        <v>51</v>
      </c>
      <c r="L280" s="12">
        <v>8000</v>
      </c>
      <c r="M280" s="13">
        <v>1000</v>
      </c>
      <c r="N280" s="13">
        <v>1200</v>
      </c>
      <c r="O280" s="14">
        <v>44956</v>
      </c>
      <c r="P280" s="11">
        <v>45138</v>
      </c>
      <c r="Q280" s="11">
        <v>45230</v>
      </c>
      <c r="R280" s="11">
        <v>45322</v>
      </c>
      <c r="S280" s="11">
        <v>45504</v>
      </c>
      <c r="T280" s="15">
        <v>45412</v>
      </c>
      <c r="U280" s="11">
        <v>45596</v>
      </c>
      <c r="V280" s="11">
        <v>45688</v>
      </c>
      <c r="W280" s="8">
        <v>45777</v>
      </c>
      <c r="X280" s="8">
        <v>45869</v>
      </c>
      <c r="Y280" s="8">
        <v>45961</v>
      </c>
      <c r="Z280" s="11">
        <v>46053</v>
      </c>
      <c r="AA280" s="8"/>
      <c r="AB280" s="8"/>
      <c r="AC280" s="8"/>
      <c r="AD280" s="11"/>
      <c r="AE280" s="11"/>
      <c r="AF280" s="11"/>
      <c r="AG280" s="11"/>
      <c r="AH280" s="11"/>
      <c r="AI280" s="11">
        <f t="shared" si="3"/>
        <v>46053</v>
      </c>
      <c r="AJ280" s="16" t="s">
        <v>975</v>
      </c>
    </row>
    <row r="281" spans="1:36" x14ac:dyDescent="0.3">
      <c r="A281" s="6" t="e">
        <f>#REF!+1</f>
        <v>#REF!</v>
      </c>
      <c r="B281" s="7" t="s">
        <v>2231</v>
      </c>
      <c r="C281" s="8" t="s">
        <v>2232</v>
      </c>
      <c r="D281" s="9" t="s">
        <v>2233</v>
      </c>
      <c r="E281" s="8" t="s">
        <v>890</v>
      </c>
      <c r="F281" s="8" t="s">
        <v>62</v>
      </c>
      <c r="G281" s="10" t="s">
        <v>2234</v>
      </c>
      <c r="H281" s="11" t="s">
        <v>125</v>
      </c>
      <c r="I281" s="11" t="s">
        <v>125</v>
      </c>
      <c r="J281" s="11" t="s">
        <v>126</v>
      </c>
      <c r="K281" s="11" t="s">
        <v>43</v>
      </c>
      <c r="L281" s="12">
        <v>8400</v>
      </c>
      <c r="M281" s="13">
        <v>800</v>
      </c>
      <c r="N281" s="13">
        <v>800</v>
      </c>
      <c r="O281" s="14">
        <v>45621</v>
      </c>
      <c r="P281" s="11">
        <v>45716</v>
      </c>
      <c r="Q281" s="11">
        <v>45900</v>
      </c>
      <c r="R281" s="11">
        <v>45991</v>
      </c>
      <c r="S281" s="11">
        <v>46081</v>
      </c>
      <c r="T281" s="15"/>
      <c r="U281" s="11"/>
      <c r="V281" s="11"/>
      <c r="W281" s="8"/>
      <c r="X281" s="8"/>
      <c r="Y281" s="8"/>
      <c r="Z281" s="11"/>
      <c r="AA281" s="8"/>
      <c r="AB281" s="8"/>
      <c r="AC281" s="8"/>
      <c r="AD281" s="11"/>
      <c r="AE281" s="11"/>
      <c r="AF281" s="11"/>
      <c r="AG281" s="11"/>
      <c r="AH281" s="11"/>
      <c r="AI281" s="11">
        <f t="shared" si="3"/>
        <v>46081</v>
      </c>
      <c r="AJ281" s="16" t="s">
        <v>2235</v>
      </c>
    </row>
    <row r="282" spans="1:36" x14ac:dyDescent="0.3">
      <c r="A282" s="6" t="e">
        <f>#REF!+1</f>
        <v>#REF!</v>
      </c>
      <c r="B282" s="7" t="s">
        <v>2236</v>
      </c>
      <c r="C282" s="8" t="s">
        <v>2237</v>
      </c>
      <c r="D282" s="9" t="s">
        <v>2238</v>
      </c>
      <c r="E282" s="8" t="s">
        <v>1565</v>
      </c>
      <c r="F282" s="8" t="s">
        <v>329</v>
      </c>
      <c r="G282" s="10" t="s">
        <v>2239</v>
      </c>
      <c r="H282" s="11" t="s">
        <v>359</v>
      </c>
      <c r="I282" s="11" t="s">
        <v>50</v>
      </c>
      <c r="J282" s="11" t="s">
        <v>50</v>
      </c>
      <c r="K282" s="11" t="s">
        <v>51</v>
      </c>
      <c r="L282" s="12">
        <v>4900</v>
      </c>
      <c r="M282" s="13">
        <v>375</v>
      </c>
      <c r="N282" s="13">
        <v>0</v>
      </c>
      <c r="O282" s="14">
        <v>44963</v>
      </c>
      <c r="P282" s="11">
        <v>45138</v>
      </c>
      <c r="Q282" s="11">
        <v>45291</v>
      </c>
      <c r="R282" s="11">
        <v>45473</v>
      </c>
      <c r="S282" s="11">
        <v>45565</v>
      </c>
      <c r="T282" s="15">
        <v>45382</v>
      </c>
      <c r="U282" s="11">
        <v>45657</v>
      </c>
      <c r="V282" s="11">
        <v>45716</v>
      </c>
      <c r="W282" s="8">
        <v>45808</v>
      </c>
      <c r="X282" s="8">
        <v>45900</v>
      </c>
      <c r="Y282" s="8">
        <v>45991</v>
      </c>
      <c r="Z282" s="11">
        <v>46081</v>
      </c>
      <c r="AA282" s="8"/>
      <c r="AB282" s="8"/>
      <c r="AC282" s="8"/>
      <c r="AD282" s="11"/>
      <c r="AE282" s="11"/>
      <c r="AF282" s="11"/>
      <c r="AG282" s="11"/>
      <c r="AH282" s="11"/>
      <c r="AI282" s="11">
        <f t="shared" si="3"/>
        <v>46081</v>
      </c>
      <c r="AJ282" s="16" t="s">
        <v>2235</v>
      </c>
    </row>
    <row r="283" spans="1:36" ht="12.75" customHeight="1" x14ac:dyDescent="0.3">
      <c r="A283" s="6" t="e">
        <f>#REF!+1</f>
        <v>#REF!</v>
      </c>
      <c r="B283" s="7" t="s">
        <v>2240</v>
      </c>
      <c r="C283" s="8" t="s">
        <v>2241</v>
      </c>
      <c r="D283" s="9" t="s">
        <v>2242</v>
      </c>
      <c r="E283" s="8" t="s">
        <v>2243</v>
      </c>
      <c r="F283" s="8" t="s">
        <v>211</v>
      </c>
      <c r="G283" s="10" t="s">
        <v>2244</v>
      </c>
      <c r="H283" s="11" t="s">
        <v>2245</v>
      </c>
      <c r="I283" s="11" t="s">
        <v>331</v>
      </c>
      <c r="J283" s="11" t="s">
        <v>332</v>
      </c>
      <c r="K283" s="11" t="s">
        <v>43</v>
      </c>
      <c r="L283" s="12">
        <v>4500</v>
      </c>
      <c r="M283" s="13">
        <v>800</v>
      </c>
      <c r="N283" s="13">
        <v>800</v>
      </c>
      <c r="O283" s="14">
        <v>45691</v>
      </c>
      <c r="P283" s="11">
        <v>45777</v>
      </c>
      <c r="Q283" s="11">
        <v>45869</v>
      </c>
      <c r="R283" s="11">
        <v>45961</v>
      </c>
      <c r="S283" s="11">
        <v>46022</v>
      </c>
      <c r="T283" s="11">
        <v>46112</v>
      </c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1">
        <f t="shared" si="3"/>
        <v>46112</v>
      </c>
      <c r="AJ283" s="16" t="s">
        <v>2235</v>
      </c>
    </row>
    <row r="284" spans="1:36" s="16" customFormat="1" ht="16.95" customHeight="1" x14ac:dyDescent="0.3">
      <c r="A284" s="6" t="e">
        <f>#REF!+1</f>
        <v>#REF!</v>
      </c>
      <c r="B284" s="7" t="s">
        <v>2246</v>
      </c>
      <c r="C284" s="8" t="s">
        <v>2247</v>
      </c>
      <c r="D284" s="9" t="s">
        <v>2248</v>
      </c>
      <c r="E284" s="8" t="s">
        <v>341</v>
      </c>
      <c r="F284" s="8" t="s">
        <v>62</v>
      </c>
      <c r="G284" s="10" t="s">
        <v>2249</v>
      </c>
      <c r="H284" s="11" t="s">
        <v>2250</v>
      </c>
      <c r="I284" s="11" t="s">
        <v>2251</v>
      </c>
      <c r="J284" s="11" t="s">
        <v>50</v>
      </c>
      <c r="K284" s="11" t="s">
        <v>43</v>
      </c>
      <c r="L284" s="12">
        <v>4500</v>
      </c>
      <c r="M284" s="13">
        <v>375</v>
      </c>
      <c r="N284" s="13">
        <v>0</v>
      </c>
      <c r="O284" s="14">
        <v>45139</v>
      </c>
      <c r="P284" s="11">
        <v>45230</v>
      </c>
      <c r="Q284" s="11">
        <v>45260</v>
      </c>
      <c r="R284" s="11">
        <v>45443</v>
      </c>
      <c r="S284" s="11">
        <v>45535</v>
      </c>
      <c r="T284" s="15">
        <v>45351</v>
      </c>
      <c r="U284" s="11">
        <v>45626</v>
      </c>
      <c r="V284" s="11">
        <v>45716</v>
      </c>
      <c r="W284" s="11">
        <v>45808</v>
      </c>
      <c r="X284" s="11">
        <v>45900</v>
      </c>
      <c r="Y284" s="11">
        <v>45961</v>
      </c>
      <c r="Z284" s="11">
        <v>46053</v>
      </c>
      <c r="AA284" s="8"/>
      <c r="AB284" s="8"/>
      <c r="AC284" s="8"/>
      <c r="AD284" s="11"/>
      <c r="AE284" s="11"/>
      <c r="AF284" s="11"/>
      <c r="AG284" s="11"/>
      <c r="AH284" s="11"/>
      <c r="AI284" s="11">
        <f t="shared" ref="AI284:AI297" si="4">+MAX(O284:AH284)</f>
        <v>46053</v>
      </c>
    </row>
    <row r="285" spans="1:36" s="16" customFormat="1" ht="16.95" customHeight="1" x14ac:dyDescent="0.3">
      <c r="A285" s="6">
        <f>'Matriz contrato Activos'!A10+1</f>
        <v>9</v>
      </c>
      <c r="B285" s="7" t="s">
        <v>2252</v>
      </c>
      <c r="C285" s="8" t="s">
        <v>2253</v>
      </c>
      <c r="D285" s="9" t="s">
        <v>2254</v>
      </c>
      <c r="E285" s="8" t="s">
        <v>574</v>
      </c>
      <c r="F285" s="8" t="s">
        <v>131</v>
      </c>
      <c r="G285" s="10" t="s">
        <v>2255</v>
      </c>
      <c r="H285" s="11" t="s">
        <v>337</v>
      </c>
      <c r="I285" s="11" t="s">
        <v>73</v>
      </c>
      <c r="J285" s="11" t="s">
        <v>73</v>
      </c>
      <c r="K285" s="11" t="s">
        <v>43</v>
      </c>
      <c r="L285" s="12">
        <v>4800</v>
      </c>
      <c r="M285" s="13">
        <v>500</v>
      </c>
      <c r="N285" s="13">
        <v>500</v>
      </c>
      <c r="O285" s="14">
        <v>45610</v>
      </c>
      <c r="P285" s="11">
        <v>45688</v>
      </c>
      <c r="Q285" s="11">
        <v>45777</v>
      </c>
      <c r="R285" s="11">
        <v>45869</v>
      </c>
      <c r="S285" s="11">
        <v>45930</v>
      </c>
      <c r="T285" s="15">
        <v>46022</v>
      </c>
      <c r="U285" s="11">
        <v>46053</v>
      </c>
      <c r="V285" s="11">
        <v>46081</v>
      </c>
      <c r="W285" s="8"/>
      <c r="X285" s="8"/>
      <c r="Y285" s="8"/>
      <c r="Z285" s="11"/>
      <c r="AA285" s="8"/>
      <c r="AB285" s="8"/>
      <c r="AC285" s="8"/>
      <c r="AD285" s="11"/>
      <c r="AE285" s="11"/>
      <c r="AF285" s="11"/>
      <c r="AG285" s="11"/>
      <c r="AH285" s="11"/>
      <c r="AI285" s="11">
        <f t="shared" si="4"/>
        <v>46081</v>
      </c>
      <c r="AJ285" s="16" t="s">
        <v>2256</v>
      </c>
    </row>
    <row r="286" spans="1:36" s="16" customFormat="1" ht="16.95" customHeight="1" x14ac:dyDescent="0.3">
      <c r="A286" s="6">
        <f>Liquidados!A285+1</f>
        <v>10</v>
      </c>
      <c r="B286" s="7" t="s">
        <v>2257</v>
      </c>
      <c r="C286" s="8" t="s">
        <v>2258</v>
      </c>
      <c r="D286" s="9" t="s">
        <v>2259</v>
      </c>
      <c r="E286" s="8" t="s">
        <v>178</v>
      </c>
      <c r="F286" s="8" t="s">
        <v>549</v>
      </c>
      <c r="G286" s="10" t="s">
        <v>2260</v>
      </c>
      <c r="H286" s="11" t="s">
        <v>371</v>
      </c>
      <c r="I286" s="11" t="s">
        <v>50</v>
      </c>
      <c r="J286" s="11" t="s">
        <v>50</v>
      </c>
      <c r="K286" s="11" t="s">
        <v>43</v>
      </c>
      <c r="L286" s="12">
        <v>3500</v>
      </c>
      <c r="M286" s="13">
        <v>525</v>
      </c>
      <c r="N286" s="13">
        <v>0</v>
      </c>
      <c r="O286" s="14">
        <v>45152</v>
      </c>
      <c r="P286" s="11">
        <v>45260</v>
      </c>
      <c r="Q286" s="11">
        <v>45443</v>
      </c>
      <c r="R286" s="11">
        <v>45535</v>
      </c>
      <c r="S286" s="11">
        <v>45626</v>
      </c>
      <c r="T286" s="15">
        <v>45351</v>
      </c>
      <c r="U286" s="11">
        <v>45716</v>
      </c>
      <c r="V286" s="11">
        <v>45808</v>
      </c>
      <c r="W286" s="11">
        <v>45900</v>
      </c>
      <c r="X286" s="11">
        <v>45991</v>
      </c>
      <c r="Y286" s="11">
        <v>46081</v>
      </c>
      <c r="Z286" s="11"/>
      <c r="AA286" s="8"/>
      <c r="AB286" s="8"/>
      <c r="AC286" s="8"/>
      <c r="AD286" s="11"/>
      <c r="AE286" s="11"/>
      <c r="AF286" s="11"/>
      <c r="AG286" s="11"/>
      <c r="AH286" s="11"/>
      <c r="AI286" s="11">
        <f t="shared" si="4"/>
        <v>46081</v>
      </c>
      <c r="AJ286" s="83" t="s">
        <v>467</v>
      </c>
    </row>
    <row r="287" spans="1:36" s="16" customFormat="1" ht="16.95" customHeight="1" x14ac:dyDescent="0.3">
      <c r="A287" s="6">
        <f>'Matriz contrato Activos'!A30+1</f>
        <v>31</v>
      </c>
      <c r="B287" s="7" t="s">
        <v>2261</v>
      </c>
      <c r="C287" s="8" t="s">
        <v>2262</v>
      </c>
      <c r="D287" s="9" t="s">
        <v>2263</v>
      </c>
      <c r="E287" s="8" t="s">
        <v>369</v>
      </c>
      <c r="F287" s="8" t="s">
        <v>131</v>
      </c>
      <c r="G287" s="10" t="s">
        <v>2264</v>
      </c>
      <c r="H287" s="11" t="s">
        <v>371</v>
      </c>
      <c r="I287" s="11" t="s">
        <v>50</v>
      </c>
      <c r="J287" s="11" t="s">
        <v>50</v>
      </c>
      <c r="K287" s="11" t="s">
        <v>43</v>
      </c>
      <c r="L287" s="12">
        <v>2800</v>
      </c>
      <c r="M287" s="13">
        <v>0</v>
      </c>
      <c r="N287" s="13">
        <v>0</v>
      </c>
      <c r="O287" s="14">
        <v>45931</v>
      </c>
      <c r="P287" s="11">
        <v>46022</v>
      </c>
      <c r="Q287" s="11">
        <v>46053</v>
      </c>
      <c r="R287" s="11">
        <v>46081</v>
      </c>
      <c r="S287" s="11"/>
      <c r="T287" s="15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>
        <f t="shared" si="4"/>
        <v>46081</v>
      </c>
      <c r="AJ287" s="16" t="s">
        <v>467</v>
      </c>
    </row>
    <row r="288" spans="1:36" s="16" customFormat="1" ht="16.95" customHeight="1" x14ac:dyDescent="0.3">
      <c r="A288" s="6">
        <f>'Matriz contrato Activos'!A37+1</f>
        <v>39</v>
      </c>
      <c r="B288" s="7" t="s">
        <v>2265</v>
      </c>
      <c r="C288" s="8" t="s">
        <v>2266</v>
      </c>
      <c r="D288" s="9" t="s">
        <v>2267</v>
      </c>
      <c r="E288" s="8" t="s">
        <v>341</v>
      </c>
      <c r="F288" s="8" t="s">
        <v>62</v>
      </c>
      <c r="G288" s="10" t="s">
        <v>2268</v>
      </c>
      <c r="H288" s="11" t="s">
        <v>2269</v>
      </c>
      <c r="I288" s="11" t="s">
        <v>2269</v>
      </c>
      <c r="J288" s="11" t="s">
        <v>332</v>
      </c>
      <c r="K288" s="11" t="s">
        <v>51</v>
      </c>
      <c r="L288" s="12">
        <v>5000</v>
      </c>
      <c r="M288" s="13">
        <v>800</v>
      </c>
      <c r="N288" s="13">
        <v>800</v>
      </c>
      <c r="O288" s="14">
        <v>45677</v>
      </c>
      <c r="P288" s="11">
        <v>45777</v>
      </c>
      <c r="Q288" s="11">
        <v>45869</v>
      </c>
      <c r="R288" s="11">
        <v>45961</v>
      </c>
      <c r="S288" s="11">
        <v>46053</v>
      </c>
      <c r="T288" s="15">
        <v>46081</v>
      </c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>
        <f t="shared" si="4"/>
        <v>46081</v>
      </c>
      <c r="AJ288" s="16" t="s">
        <v>467</v>
      </c>
    </row>
    <row r="289" spans="1:36" s="16" customFormat="1" ht="16.95" customHeight="1" x14ac:dyDescent="0.3">
      <c r="A289" s="6">
        <f>'Matriz contrato Activos'!A43+1</f>
        <v>46</v>
      </c>
      <c r="B289" s="7" t="s">
        <v>2270</v>
      </c>
      <c r="C289" s="8" t="s">
        <v>2271</v>
      </c>
      <c r="D289" s="9" t="s">
        <v>2272</v>
      </c>
      <c r="E289" s="8" t="s">
        <v>2273</v>
      </c>
      <c r="F289" s="8" t="s">
        <v>48</v>
      </c>
      <c r="G289" s="10" t="s">
        <v>2274</v>
      </c>
      <c r="H289" s="11" t="s">
        <v>92</v>
      </c>
      <c r="I289" s="11" t="s">
        <v>73</v>
      </c>
      <c r="J289" s="11" t="s">
        <v>73</v>
      </c>
      <c r="K289" s="11" t="s">
        <v>51</v>
      </c>
      <c r="L289" s="12">
        <v>9000</v>
      </c>
      <c r="M289" s="13">
        <v>800</v>
      </c>
      <c r="N289" s="13">
        <v>800</v>
      </c>
      <c r="O289" s="14" t="s">
        <v>2275</v>
      </c>
      <c r="P289" s="11">
        <v>46022</v>
      </c>
      <c r="Q289" s="11">
        <v>46081</v>
      </c>
      <c r="R289" s="11"/>
      <c r="S289" s="11"/>
      <c r="T289" s="15"/>
      <c r="U289" s="11"/>
      <c r="V289" s="11"/>
      <c r="W289" s="8"/>
      <c r="X289" s="8"/>
      <c r="Y289" s="8"/>
      <c r="Z289" s="11"/>
      <c r="AA289" s="8"/>
      <c r="AB289" s="8"/>
      <c r="AC289" s="8"/>
      <c r="AD289" s="11"/>
      <c r="AE289" s="11"/>
      <c r="AF289" s="11"/>
      <c r="AG289" s="11"/>
      <c r="AH289" s="11"/>
      <c r="AI289" s="11">
        <f t="shared" si="4"/>
        <v>46081</v>
      </c>
      <c r="AJ289" s="16" t="s">
        <v>467</v>
      </c>
    </row>
    <row r="290" spans="1:36" s="16" customFormat="1" ht="16.95" customHeight="1" x14ac:dyDescent="0.3">
      <c r="A290" s="6">
        <f>'Matriz contrato Activos'!A52+1</f>
        <v>56</v>
      </c>
      <c r="B290" s="7" t="s">
        <v>2276</v>
      </c>
      <c r="C290" s="20" t="s">
        <v>2277</v>
      </c>
      <c r="D290" s="9" t="s">
        <v>2278</v>
      </c>
      <c r="E290" s="20" t="s">
        <v>38</v>
      </c>
      <c r="F290" s="8" t="s">
        <v>131</v>
      </c>
      <c r="G290" s="10" t="s">
        <v>2279</v>
      </c>
      <c r="H290" s="11" t="s">
        <v>2280</v>
      </c>
      <c r="I290" s="11" t="s">
        <v>2281</v>
      </c>
      <c r="J290" s="11" t="s">
        <v>1323</v>
      </c>
      <c r="K290" s="11" t="s">
        <v>43</v>
      </c>
      <c r="L290" s="12">
        <v>3000</v>
      </c>
      <c r="M290" s="13">
        <v>0</v>
      </c>
      <c r="N290" s="13">
        <v>0</v>
      </c>
      <c r="O290" s="14">
        <v>45916</v>
      </c>
      <c r="P290" s="11">
        <v>45991</v>
      </c>
      <c r="Q290" s="11">
        <v>46053</v>
      </c>
      <c r="R290" s="11">
        <v>46081</v>
      </c>
      <c r="S290" s="11"/>
      <c r="T290" s="15"/>
      <c r="U290" s="11"/>
      <c r="V290" s="11"/>
      <c r="W290" s="11"/>
      <c r="X290" s="11"/>
      <c r="Y290" s="11"/>
      <c r="Z290" s="11"/>
      <c r="AA290" s="8"/>
      <c r="AB290" s="8"/>
      <c r="AC290" s="8"/>
      <c r="AD290" s="11"/>
      <c r="AE290" s="11"/>
      <c r="AF290" s="11"/>
      <c r="AG290" s="11"/>
      <c r="AH290" s="11"/>
      <c r="AI290" s="11">
        <f t="shared" si="4"/>
        <v>46081</v>
      </c>
      <c r="AJ290" s="16" t="s">
        <v>2175</v>
      </c>
    </row>
    <row r="291" spans="1:36" s="16" customFormat="1" ht="16.95" customHeight="1" x14ac:dyDescent="0.3">
      <c r="A291" s="6">
        <f>'Matriz contrato Activos'!A82+1</f>
        <v>87</v>
      </c>
      <c r="B291" s="7" t="s">
        <v>2282</v>
      </c>
      <c r="C291" s="8" t="s">
        <v>2283</v>
      </c>
      <c r="D291" s="9" t="s">
        <v>2284</v>
      </c>
      <c r="E291" s="8" t="s">
        <v>1069</v>
      </c>
      <c r="F291" s="8" t="s">
        <v>70</v>
      </c>
      <c r="G291" s="10" t="s">
        <v>2285</v>
      </c>
      <c r="H291" s="11" t="s">
        <v>1980</v>
      </c>
      <c r="I291" s="11" t="s">
        <v>331</v>
      </c>
      <c r="J291" s="11" t="s">
        <v>332</v>
      </c>
      <c r="K291" s="11" t="s">
        <v>51</v>
      </c>
      <c r="L291" s="12">
        <v>5000</v>
      </c>
      <c r="M291" s="13">
        <v>1000</v>
      </c>
      <c r="N291" s="13">
        <v>900</v>
      </c>
      <c r="O291" s="14">
        <v>44629</v>
      </c>
      <c r="P291" s="11">
        <v>44666</v>
      </c>
      <c r="Q291" s="11">
        <v>44681</v>
      </c>
      <c r="R291" s="11">
        <v>44712</v>
      </c>
      <c r="S291" s="11">
        <v>44834</v>
      </c>
      <c r="T291" s="15">
        <v>45382</v>
      </c>
      <c r="U291" s="11">
        <v>44865</v>
      </c>
      <c r="V291" s="11">
        <v>44957</v>
      </c>
      <c r="W291" s="11">
        <v>45138</v>
      </c>
      <c r="X291" s="11">
        <v>45230</v>
      </c>
      <c r="Y291" s="11">
        <v>45260</v>
      </c>
      <c r="Z291" s="11">
        <v>45291</v>
      </c>
      <c r="AA291" s="11">
        <v>45473</v>
      </c>
      <c r="AB291" s="11">
        <v>45565</v>
      </c>
      <c r="AC291" s="11">
        <v>45657</v>
      </c>
      <c r="AD291" s="11">
        <v>45716</v>
      </c>
      <c r="AE291" s="11">
        <v>45991</v>
      </c>
      <c r="AF291" s="11">
        <v>46053</v>
      </c>
      <c r="AG291" s="11">
        <v>46081</v>
      </c>
      <c r="AH291" s="11"/>
      <c r="AI291" s="11">
        <f t="shared" si="4"/>
        <v>46081</v>
      </c>
      <c r="AJ291" s="16" t="s">
        <v>467</v>
      </c>
    </row>
    <row r="292" spans="1:36" s="16" customFormat="1" ht="16.95" customHeight="1" x14ac:dyDescent="0.3">
      <c r="A292" s="6">
        <f>'Matriz contrato Activos'!A92+1</f>
        <v>98</v>
      </c>
      <c r="B292" s="7" t="s">
        <v>2286</v>
      </c>
      <c r="C292" s="8" t="s">
        <v>2287</v>
      </c>
      <c r="D292" s="9" t="s">
        <v>2288</v>
      </c>
      <c r="E292" s="8" t="s">
        <v>77</v>
      </c>
      <c r="F292" s="8" t="s">
        <v>78</v>
      </c>
      <c r="G292" s="10" t="s">
        <v>2289</v>
      </c>
      <c r="H292" s="11" t="s">
        <v>462</v>
      </c>
      <c r="I292" s="11" t="s">
        <v>73</v>
      </c>
      <c r="J292" s="11" t="s">
        <v>73</v>
      </c>
      <c r="K292" s="11" t="s">
        <v>43</v>
      </c>
      <c r="L292" s="12">
        <v>3000</v>
      </c>
      <c r="M292" s="13">
        <v>0</v>
      </c>
      <c r="N292" s="13">
        <v>0</v>
      </c>
      <c r="O292" s="14">
        <v>45948</v>
      </c>
      <c r="P292" s="11">
        <v>46022</v>
      </c>
      <c r="Q292" s="11">
        <v>46053</v>
      </c>
      <c r="R292" s="11">
        <v>46081</v>
      </c>
      <c r="S292" s="11"/>
      <c r="T292" s="15"/>
      <c r="U292" s="11"/>
      <c r="V292" s="11"/>
      <c r="W292" s="8"/>
      <c r="X292" s="8"/>
      <c r="Y292" s="8"/>
      <c r="Z292" s="11"/>
      <c r="AA292" s="8"/>
      <c r="AB292" s="8"/>
      <c r="AC292" s="8"/>
      <c r="AD292" s="11"/>
      <c r="AE292" s="11"/>
      <c r="AF292" s="11"/>
      <c r="AG292" s="11"/>
      <c r="AH292" s="11"/>
      <c r="AI292" s="11">
        <f t="shared" si="4"/>
        <v>46081</v>
      </c>
      <c r="AJ292" s="16" t="s">
        <v>2175</v>
      </c>
    </row>
    <row r="293" spans="1:36" s="16" customFormat="1" ht="16.95" customHeight="1" x14ac:dyDescent="0.3">
      <c r="A293" s="6">
        <f>'Matriz contrato Activos'!A109+1</f>
        <v>116</v>
      </c>
      <c r="B293" s="7" t="s">
        <v>1793</v>
      </c>
      <c r="C293" s="8" t="s">
        <v>2290</v>
      </c>
      <c r="D293" s="9" t="s">
        <v>1795</v>
      </c>
      <c r="E293" s="8" t="s">
        <v>38</v>
      </c>
      <c r="F293" s="8" t="s">
        <v>131</v>
      </c>
      <c r="G293" s="10" t="s">
        <v>1796</v>
      </c>
      <c r="H293" s="11" t="s">
        <v>2291</v>
      </c>
      <c r="I293" s="11" t="s">
        <v>640</v>
      </c>
      <c r="J293" s="11" t="s">
        <v>50</v>
      </c>
      <c r="K293" s="11" t="s">
        <v>43</v>
      </c>
      <c r="L293" s="12">
        <v>1970</v>
      </c>
      <c r="M293" s="13">
        <v>0</v>
      </c>
      <c r="N293" s="13">
        <v>0</v>
      </c>
      <c r="O293" s="14">
        <v>45964</v>
      </c>
      <c r="P293" s="11">
        <v>46022</v>
      </c>
      <c r="Q293" s="11">
        <v>46053</v>
      </c>
      <c r="R293" s="11">
        <v>46081</v>
      </c>
      <c r="S293" s="11"/>
      <c r="T293" s="11"/>
      <c r="U293" s="11"/>
      <c r="V293" s="11"/>
      <c r="W293" s="11"/>
      <c r="X293" s="11"/>
      <c r="Y293" s="11"/>
      <c r="Z293" s="11"/>
      <c r="AA293" s="8"/>
      <c r="AB293" s="8"/>
      <c r="AC293" s="8"/>
      <c r="AD293" s="11"/>
      <c r="AE293" s="11"/>
      <c r="AF293" s="11"/>
      <c r="AG293" s="11"/>
      <c r="AH293" s="11"/>
      <c r="AI293" s="11">
        <f t="shared" si="4"/>
        <v>46081</v>
      </c>
      <c r="AJ293" s="16" t="s">
        <v>2235</v>
      </c>
    </row>
    <row r="294" spans="1:36" s="16" customFormat="1" ht="16.95" customHeight="1" x14ac:dyDescent="0.3">
      <c r="A294" s="6">
        <f>'Matriz contrato Activos'!A123+1</f>
        <v>131</v>
      </c>
      <c r="B294" s="7" t="s">
        <v>2292</v>
      </c>
      <c r="C294" s="8" t="s">
        <v>2293</v>
      </c>
      <c r="D294" s="9" t="s">
        <v>2294</v>
      </c>
      <c r="E294" s="8" t="s">
        <v>61</v>
      </c>
      <c r="F294" s="8" t="s">
        <v>62</v>
      </c>
      <c r="G294" s="10" t="s">
        <v>2295</v>
      </c>
      <c r="H294" s="11" t="s">
        <v>2296</v>
      </c>
      <c r="I294" s="11" t="s">
        <v>697</v>
      </c>
      <c r="J294" s="11" t="s">
        <v>618</v>
      </c>
      <c r="K294" s="11" t="s">
        <v>43</v>
      </c>
      <c r="L294" s="12">
        <v>3900</v>
      </c>
      <c r="M294" s="13">
        <v>500</v>
      </c>
      <c r="N294" s="13">
        <v>500</v>
      </c>
      <c r="O294" s="14">
        <v>45726</v>
      </c>
      <c r="P294" s="11">
        <v>45808</v>
      </c>
      <c r="Q294" s="11">
        <v>45900</v>
      </c>
      <c r="R294" s="11">
        <v>45961</v>
      </c>
      <c r="S294" s="11">
        <v>46053</v>
      </c>
      <c r="T294" s="11">
        <v>46081</v>
      </c>
      <c r="U294" s="11"/>
      <c r="V294" s="11"/>
      <c r="W294" s="11"/>
      <c r="X294" s="11"/>
      <c r="Y294" s="11"/>
      <c r="Z294" s="11"/>
      <c r="AA294" s="8"/>
      <c r="AB294" s="8"/>
      <c r="AC294" s="8"/>
      <c r="AD294" s="11"/>
      <c r="AE294" s="11"/>
      <c r="AF294" s="11"/>
      <c r="AG294" s="11"/>
      <c r="AH294" s="11"/>
      <c r="AI294" s="11">
        <f t="shared" si="4"/>
        <v>46081</v>
      </c>
      <c r="AJ294" s="16" t="s">
        <v>467</v>
      </c>
    </row>
    <row r="295" spans="1:36" s="16" customFormat="1" ht="16.95" customHeight="1" x14ac:dyDescent="0.3">
      <c r="A295" s="6">
        <f>'Matriz contrato Activos'!A126+1</f>
        <v>135</v>
      </c>
      <c r="B295" s="7" t="s">
        <v>2297</v>
      </c>
      <c r="C295" s="8" t="s">
        <v>2298</v>
      </c>
      <c r="D295" s="9" t="s">
        <v>2299</v>
      </c>
      <c r="E295" s="8" t="s">
        <v>574</v>
      </c>
      <c r="F295" s="8" t="s">
        <v>131</v>
      </c>
      <c r="G295" s="10" t="s">
        <v>2300</v>
      </c>
      <c r="H295" s="11" t="s">
        <v>1980</v>
      </c>
      <c r="I295" s="11" t="s">
        <v>331</v>
      </c>
      <c r="J295" s="11" t="s">
        <v>332</v>
      </c>
      <c r="K295" s="11" t="s">
        <v>43</v>
      </c>
      <c r="L295" s="12">
        <v>4500</v>
      </c>
      <c r="M295" s="13">
        <v>500</v>
      </c>
      <c r="N295" s="13">
        <v>500</v>
      </c>
      <c r="O295" s="14">
        <v>45931</v>
      </c>
      <c r="P295" s="11">
        <v>46022</v>
      </c>
      <c r="Q295" s="11">
        <v>46053</v>
      </c>
      <c r="R295" s="11">
        <v>46081</v>
      </c>
      <c r="S295" s="11"/>
      <c r="T295" s="11"/>
      <c r="U295" s="11"/>
      <c r="V295" s="11"/>
      <c r="W295" s="11"/>
      <c r="X295" s="11"/>
      <c r="Y295" s="11"/>
      <c r="Z295" s="11"/>
      <c r="AA295" s="8"/>
      <c r="AB295" s="8"/>
      <c r="AC295" s="8"/>
      <c r="AD295" s="11"/>
      <c r="AE295" s="11"/>
      <c r="AF295" s="11"/>
      <c r="AG295" s="11"/>
      <c r="AH295" s="11"/>
      <c r="AI295" s="11">
        <f t="shared" si="4"/>
        <v>46081</v>
      </c>
      <c r="AJ295" s="16" t="s">
        <v>467</v>
      </c>
    </row>
    <row r="296" spans="1:36" s="16" customFormat="1" ht="16.95" customHeight="1" x14ac:dyDescent="0.3">
      <c r="A296" s="6">
        <f>'Matriz contrato Activos'!A152+1</f>
        <v>162</v>
      </c>
      <c r="B296" s="7" t="s">
        <v>2301</v>
      </c>
      <c r="C296" s="8" t="s">
        <v>2302</v>
      </c>
      <c r="D296" s="9" t="s">
        <v>2303</v>
      </c>
      <c r="E296" s="8" t="s">
        <v>38</v>
      </c>
      <c r="F296" s="8" t="s">
        <v>39</v>
      </c>
      <c r="G296" s="10" t="s">
        <v>2304</v>
      </c>
      <c r="H296" s="11" t="s">
        <v>186</v>
      </c>
      <c r="I296" s="11" t="s">
        <v>50</v>
      </c>
      <c r="J296" s="11" t="s">
        <v>50</v>
      </c>
      <c r="K296" s="11" t="s">
        <v>43</v>
      </c>
      <c r="L296" s="12">
        <v>1970</v>
      </c>
      <c r="M296" s="13">
        <v>0</v>
      </c>
      <c r="N296" s="13">
        <v>0</v>
      </c>
      <c r="O296" s="14">
        <v>45994</v>
      </c>
      <c r="P296" s="11">
        <v>46081</v>
      </c>
      <c r="Q296" s="11"/>
      <c r="R296" s="11"/>
      <c r="S296" s="11"/>
      <c r="T296" s="15"/>
      <c r="U296" s="11"/>
      <c r="V296" s="11"/>
      <c r="W296" s="11"/>
      <c r="X296" s="11"/>
      <c r="Y296" s="11"/>
      <c r="Z296" s="11"/>
      <c r="AA296" s="11"/>
      <c r="AB296" s="11"/>
      <c r="AC296" s="8"/>
      <c r="AD296" s="11"/>
      <c r="AE296" s="11"/>
      <c r="AF296" s="11"/>
      <c r="AG296" s="11"/>
      <c r="AH296" s="11"/>
      <c r="AI296" s="11">
        <f t="shared" si="4"/>
        <v>46081</v>
      </c>
      <c r="AJ296" s="16" t="s">
        <v>467</v>
      </c>
    </row>
    <row r="297" spans="1:36" s="16" customFormat="1" ht="16.95" customHeight="1" x14ac:dyDescent="0.3">
      <c r="A297" s="6">
        <f>Liquidados!A296+1</f>
        <v>163</v>
      </c>
      <c r="B297" s="7" t="s">
        <v>2305</v>
      </c>
      <c r="C297" s="8" t="s">
        <v>2306</v>
      </c>
      <c r="D297" s="19" t="s">
        <v>2307</v>
      </c>
      <c r="E297" s="8" t="s">
        <v>2308</v>
      </c>
      <c r="F297" s="8" t="s">
        <v>39</v>
      </c>
      <c r="G297" s="10" t="s">
        <v>2309</v>
      </c>
      <c r="H297" s="11" t="s">
        <v>186</v>
      </c>
      <c r="I297" s="11" t="s">
        <v>50</v>
      </c>
      <c r="J297" s="11" t="s">
        <v>50</v>
      </c>
      <c r="K297" s="11" t="s">
        <v>147</v>
      </c>
      <c r="L297" s="12">
        <v>1970</v>
      </c>
      <c r="M297" s="13"/>
      <c r="N297" s="13"/>
      <c r="O297" s="14">
        <v>46001</v>
      </c>
      <c r="P297" s="11">
        <v>46081</v>
      </c>
      <c r="Q297" s="11"/>
      <c r="R297" s="11"/>
      <c r="S297" s="11"/>
      <c r="T297" s="15"/>
      <c r="U297" s="11"/>
      <c r="V297" s="11"/>
      <c r="W297" s="11"/>
      <c r="X297" s="11"/>
      <c r="Y297" s="11"/>
      <c r="Z297" s="11"/>
      <c r="AA297" s="11"/>
      <c r="AB297" s="11"/>
      <c r="AC297" s="8"/>
      <c r="AD297" s="11"/>
      <c r="AE297" s="11"/>
      <c r="AF297" s="11"/>
      <c r="AG297" s="11"/>
      <c r="AH297" s="11"/>
      <c r="AI297" s="11">
        <f t="shared" si="4"/>
        <v>46081</v>
      </c>
      <c r="AJ297" s="16" t="s">
        <v>467</v>
      </c>
    </row>
  </sheetData>
  <autoFilter ref="A2:AN288" xr:uid="{022C8AC4-E5D7-4E4C-94D7-8ECD89753BB6}"/>
  <conditionalFormatting sqref="B2">
    <cfRule type="duplicateValues" dxfId="2673" priority="1701"/>
    <cfRule type="duplicateValues" dxfId="2672" priority="1700"/>
    <cfRule type="duplicateValues" dxfId="2671" priority="1702"/>
    <cfRule type="expression" dxfId="2670" priority="1707" stopIfTrue="1">
      <formula>AND(COUNTIF($B$3:$B$3, B2)+COUNTIF($B$5:$B$5, B2)&gt;1,NOT(ISBLANK(B2)))</formula>
    </cfRule>
    <cfRule type="duplicateValues" dxfId="2669" priority="1706" stopIfTrue="1"/>
    <cfRule type="expression" dxfId="2668" priority="1705" stopIfTrue="1">
      <formula>AND(COUNTIF(#REF!, B2)+COUNTIF($B$2:$B$5, B2)+COUNTIF($B$8:$B$14, B2)&gt;1,NOT(ISBLANK(B2)))</formula>
    </cfRule>
    <cfRule type="expression" dxfId="2667" priority="1704" stopIfTrue="1">
      <formula>AND(COUNTIF(#REF!, B2)+COUNTIF($B$2:$B$5, B2)+COUNTIF($B$8:$B$12, B2)&gt;1,NOT(ISBLANK(B2)))</formula>
    </cfRule>
    <cfRule type="expression" dxfId="2666" priority="1703" stopIfTrue="1">
      <formula>AND(COUNTIF(#REF!, B2)+COUNTIF($B$2:$B$5, B2)&gt;1,NOT(ISBLANK(B2)))</formula>
    </cfRule>
    <cfRule type="duplicateValues" dxfId="2665" priority="1697" stopIfTrue="1"/>
    <cfRule type="duplicateValues" dxfId="2664" priority="1698"/>
    <cfRule type="duplicateValues" dxfId="2663" priority="1699"/>
  </conditionalFormatting>
  <conditionalFormatting sqref="B3">
    <cfRule type="duplicateValues" dxfId="2662" priority="1725"/>
    <cfRule type="duplicateValues" dxfId="2661" priority="1726" stopIfTrue="1"/>
    <cfRule type="expression" dxfId="2660" priority="1748" stopIfTrue="1">
      <formula>AND(COUNTIF(#REF!, B3)+COUNTIF($B$2:$B$18, B3)&gt;1,NOT(ISBLANK(B3)))</formula>
    </cfRule>
    <cfRule type="duplicateValues" dxfId="2659" priority="1728" stopIfTrue="1"/>
    <cfRule type="duplicateValues" dxfId="2658" priority="1729" stopIfTrue="1"/>
    <cfRule type="duplicateValues" dxfId="2657" priority="1730" stopIfTrue="1"/>
    <cfRule type="duplicateValues" dxfId="2656" priority="1731"/>
    <cfRule type="duplicateValues" dxfId="2655" priority="1732"/>
    <cfRule type="duplicateValues" dxfId="2654" priority="1733"/>
    <cfRule type="duplicateValues" dxfId="2653" priority="1727" stopIfTrue="1"/>
    <cfRule type="duplicateValues" dxfId="2652" priority="1735"/>
    <cfRule type="duplicateValues" dxfId="2651" priority="1736"/>
    <cfRule type="duplicateValues" dxfId="2650" priority="1737"/>
    <cfRule type="duplicateValues" dxfId="2649" priority="1738" stopIfTrue="1"/>
    <cfRule type="duplicateValues" dxfId="2648" priority="1747" stopIfTrue="1"/>
    <cfRule type="duplicateValues" dxfId="2647" priority="1715" stopIfTrue="1"/>
    <cfRule type="duplicateValues" dxfId="2646" priority="1716" stopIfTrue="1"/>
    <cfRule type="duplicateValues" dxfId="2645" priority="1713" stopIfTrue="1"/>
    <cfRule type="duplicateValues" dxfId="2644" priority="1708" stopIfTrue="1"/>
    <cfRule type="duplicateValues" dxfId="2643" priority="1717" stopIfTrue="1"/>
    <cfRule type="duplicateValues" dxfId="2642" priority="1718" stopIfTrue="1"/>
    <cfRule type="duplicateValues" dxfId="2641" priority="1719"/>
    <cfRule type="duplicateValues" dxfId="2640" priority="1720"/>
    <cfRule type="duplicateValues" dxfId="2639" priority="1721"/>
    <cfRule type="duplicateValues" dxfId="2638" priority="1714" stopIfTrue="1"/>
    <cfRule type="duplicateValues" dxfId="2637" priority="1722"/>
    <cfRule type="duplicateValues" dxfId="2636" priority="1723"/>
    <cfRule type="duplicateValues" dxfId="2635" priority="1724"/>
    <cfRule type="duplicateValues" dxfId="2634" priority="1734"/>
  </conditionalFormatting>
  <conditionalFormatting sqref="B4">
    <cfRule type="duplicateValues" dxfId="2633" priority="1696" stopIfTrue="1"/>
    <cfRule type="expression" dxfId="2632" priority="1749" stopIfTrue="1">
      <formula>AND(COUNTIF($B$5:$B$5, B4)+COUNTIF($B$7:$B$8, B4)+COUNTIF($B$10:$B$14, B4)+COUNTIF($B$16:$B$22, B4)+COUNTIF($B$24:$B$33, B4)+COUNTIF($B$35:$B$50, B4)+COUNTIF($B$52:$B$53, B4)+COUNTIF($B$55:$B$59, B4)+COUNTIF($B$62:$B$68, B4)+COUNTIF($B$88:$B$88, B4)+COUNTIF($B$90:$B$91, B4)+COUNTIF($B$94:$B$100, B4)+COUNTIF($B$102:$B$102, B4)+COUNTIF($B$104:$B$109, B4)+COUNTIF($B$111:$B$111, B4)+COUNTIF($B$70:$B$86, B4)&gt;1,NOT(ISBLANK(B4)))</formula>
    </cfRule>
  </conditionalFormatting>
  <conditionalFormatting sqref="B5">
    <cfRule type="duplicateValues" dxfId="2631" priority="1695" stopIfTrue="1"/>
  </conditionalFormatting>
  <conditionalFormatting sqref="B6">
    <cfRule type="duplicateValues" dxfId="2630" priority="1694" stopIfTrue="1"/>
  </conditionalFormatting>
  <conditionalFormatting sqref="B7">
    <cfRule type="duplicateValues" dxfId="2629" priority="1693" stopIfTrue="1"/>
  </conditionalFormatting>
  <conditionalFormatting sqref="B8:B9">
    <cfRule type="duplicateValues" dxfId="2628" priority="1692" stopIfTrue="1"/>
  </conditionalFormatting>
  <conditionalFormatting sqref="B10">
    <cfRule type="expression" dxfId="2627" priority="1752" stopIfTrue="1">
      <formula>AND(COUNTIF($B$5:$B$5, B10)+COUNTIF($B$6:$B$7, B10)+COUNTIF($B$9:$B$12, B10)+COUNTIF($B$13:$B$19, B10)+COUNTIF($B$21:$B$30, B10)+COUNTIF($B$31:$B$46, B10)+COUNTIF($B$47:$B$47, B10)+COUNTIF($B$50:$B$54, B10)+COUNTIF($B$55:$B$61, B10)+COUNTIF($B$81:$B$81, B10)+COUNTIF($B$83:$B$84, B10)+COUNTIF($B$87:$B$93, B10)+COUNTIF($B$95:$B$95, B10)+COUNTIF($B$97:$B$102, B10)+COUNTIF($B$104:$B$104, B10)+COUNTIF($B$63:$B$79, B10)&gt;1,NOT(ISBLANK(B10)))</formula>
    </cfRule>
  </conditionalFormatting>
  <conditionalFormatting sqref="B10:B11">
    <cfRule type="duplicateValues" dxfId="2626" priority="1691" stopIfTrue="1"/>
  </conditionalFormatting>
  <conditionalFormatting sqref="B12">
    <cfRule type="expression" dxfId="2625" priority="1753" stopIfTrue="1">
      <formula>AND(COUNTIF($B$5:$B$5, B12)+COUNTIF($B$6:$B$7, B12)+COUNTIF($B$9:$B$12, B12)+COUNTIF($B$13:$B$19, B12)+COUNTIF($B$21:$B$30, B12)+COUNTIF($B$31:$B$46, B12)+COUNTIF($B$47:$B$47, B12)+COUNTIF($B$50:$B$54, B12)+COUNTIF($B$55:$B$60, B12)+COUNTIF($B$79:$B$79, B12)+COUNTIF($B$81:$B$82, B12)+COUNTIF($B$85:$B$91, B12)+COUNTIF($B$93:$B$93, B12)+COUNTIF($B$95:$B$100, B12)+COUNTIF($B$102:$B$102, B12)+COUNTIF($B$61:$B$77, B12)&gt;1,NOT(ISBLANK(B12)))</formula>
    </cfRule>
    <cfRule type="duplicateValues" dxfId="2624" priority="1690" stopIfTrue="1"/>
  </conditionalFormatting>
  <conditionalFormatting sqref="B13">
    <cfRule type="duplicateValues" dxfId="2623" priority="1689" stopIfTrue="1"/>
  </conditionalFormatting>
  <conditionalFormatting sqref="B14">
    <cfRule type="duplicateValues" dxfId="2622" priority="1688" stopIfTrue="1"/>
  </conditionalFormatting>
  <conditionalFormatting sqref="B15:B16">
    <cfRule type="duplicateValues" dxfId="2621" priority="1687" stopIfTrue="1"/>
  </conditionalFormatting>
  <conditionalFormatting sqref="B17">
    <cfRule type="duplicateValues" dxfId="2620" priority="1686" stopIfTrue="1"/>
  </conditionalFormatting>
  <conditionalFormatting sqref="B18">
    <cfRule type="duplicateValues" dxfId="2619" priority="1685" stopIfTrue="1"/>
  </conditionalFormatting>
  <conditionalFormatting sqref="B19">
    <cfRule type="duplicateValues" dxfId="2618" priority="1684" stopIfTrue="1"/>
  </conditionalFormatting>
  <conditionalFormatting sqref="B20">
    <cfRule type="duplicateValues" dxfId="2617" priority="1683" stopIfTrue="1"/>
  </conditionalFormatting>
  <conditionalFormatting sqref="B21">
    <cfRule type="expression" dxfId="2616" priority="1754" stopIfTrue="1">
      <formula>AND(COUNTIF($B$5:$B$5, B21)+COUNTIF($B$6:$B$7, B21)+COUNTIF($B$9:$B$12, B21)+COUNTIF($B$13:$B$19, B21)+COUNTIF($B$21:$B$30, B21)+COUNTIF($B$31:$B$46, B21)+COUNTIF($B$47:$B$47, B21)+COUNTIF($B$49:$B$53, B21)+COUNTIF($B$54:$B$59, B21)+COUNTIF($B$76:$B$76, B21)+COUNTIF($B$77:$B$78, B21)+COUNTIF($B$79:$B$85, B21)+COUNTIF($B$86:$B$86, B21)+COUNTIF($B$87:$B$92, B21)+COUNTIF($B$93:$B$93, B21)+COUNTIF($B$60:$B$75, B21)&gt;1,NOT(ISBLANK(B21)))</formula>
    </cfRule>
    <cfRule type="duplicateValues" dxfId="2615" priority="1682" stopIfTrue="1"/>
  </conditionalFormatting>
  <conditionalFormatting sqref="B22">
    <cfRule type="expression" dxfId="2614" priority="1755" stopIfTrue="1">
      <formula>AND(COUNTIF($B$5:$B$5, B22)+COUNTIF($B$6:$B$7, B22)+COUNTIF($B$9:$B$12, B22)+COUNTIF($B$13:$B$19, B22)+COUNTIF($B$21:$B$30, B22)+COUNTIF($B$31:$B$46, B22)+COUNTIF($B$47:$B$47, B22)+COUNTIF($B$49:$B$52, B22)+COUNTIF($B$53:$B$58, B22)+COUNTIF($B$75:$B$75, B22)+COUNTIF($B$76:$B$77, B22)+COUNTIF($B$78:$B$84, B22)+COUNTIF($B$85:$B$85, B22)+COUNTIF($B$86:$B$91, B22)+COUNTIF($B$92:$B$92, B22)+COUNTIF($B$59:$B$74, B22)&gt;1,NOT(ISBLANK(B22)))</formula>
    </cfRule>
    <cfRule type="duplicateValues" dxfId="2613" priority="1681" stopIfTrue="1"/>
  </conditionalFormatting>
  <conditionalFormatting sqref="B23">
    <cfRule type="expression" dxfId="2612" priority="1756" stopIfTrue="1">
      <formula>AND(COUNTIF($B$5:$B$5, B23)+COUNTIF($B$6:$B$6, B23)+COUNTIF($B$8:$B$11, B23)+COUNTIF($B$12:$B$18, B23)+COUNTIF($B$20:$B$30, B23)+COUNTIF($B$31:$B$45, B23)+COUNTIF($B$46:$B$47, B23)+COUNTIF($B$49:$B$51, B23)+COUNTIF($B$52:$B$57, B23)+COUNTIF($B$74:$B$74, B23)+COUNTIF($B$75:$B$76, B23)+COUNTIF($B$77:$B$83, B23)+COUNTIF($B$84:$B$84, B23)+COUNTIF($B$85:$B$90, B23)+COUNTIF($B$91:$B$91, B23)+COUNTIF($B$58:$B$73, B23)&gt;1,NOT(ISBLANK(B23)))</formula>
    </cfRule>
    <cfRule type="duplicateValues" dxfId="2611" priority="1680" stopIfTrue="1"/>
  </conditionalFormatting>
  <conditionalFormatting sqref="B24">
    <cfRule type="duplicateValues" dxfId="2610" priority="1759" stopIfTrue="1"/>
    <cfRule type="expression" dxfId="2609" priority="1760" stopIfTrue="1">
      <formula>AND(COUNTIF($B$5:$B$5, B24)+COUNTIF($B$6:$B$6, B24)+COUNTIF($B$8:$B$11, B24)+COUNTIF($B$12:$B$17, B24)+COUNTIF($B$19:$B$30, B24)+COUNTIF($B$31:$B$44, B24)+COUNTIF($B$45:$B$46, B24)+COUNTIF($B$47:$B$50, B24)+COUNTIF($B$51:$B$56, B24)+COUNTIF($C$73:$C$73, B24)+COUNTIF($B$74:$B$75, B24)+COUNTIF($B$76:$B$82, B24)+COUNTIF($B$83:$B$83, B24)+COUNTIF($B$84:$B$89, B24)+COUNTIF($B$90:$B$90, B24)+COUNTIF($B$57:$B$72, B24)&gt;1,NOT(ISBLANK(B24)))</formula>
    </cfRule>
  </conditionalFormatting>
  <conditionalFormatting sqref="B25">
    <cfRule type="expression" dxfId="2608" priority="1750" stopIfTrue="1">
      <formula>AND(COUNTIF($B$5:$B$5, B25)+COUNTIF($B$6:$B$6, B25)+COUNTIF($B$8:$B$11, B25)+COUNTIF($B$12:$B$17, B25)+COUNTIF($B$19:$B$30, B25)+COUNTIF($B$31:$B$43, B25)+COUNTIF($B$44:$B$45, B25)+COUNTIF($B$46:$B$49, B25)+COUNTIF($B$50:$B$55, B25)+COUNTIF($B$72:$B$72, B25)+COUNTIF($B$73:$B$74, B25)+COUNTIF($B$75:$B$81, B25)+COUNTIF($B$82:$B$82, B25)+COUNTIF($B$83:$B$88, B25)+COUNTIF($B$89:$B$89, B25)+COUNTIF($B$56:$B$71, B25)&gt;1,NOT(ISBLANK(B25)))</formula>
    </cfRule>
    <cfRule type="duplicateValues" dxfId="2607" priority="1679" stopIfTrue="1"/>
  </conditionalFormatting>
  <conditionalFormatting sqref="B26">
    <cfRule type="expression" dxfId="2606" priority="1757" stopIfTrue="1">
      <formula>AND(COUNTIF($B$5:$B$5, B26)+COUNTIF($B$6:$B$6, B26)+COUNTIF($B$8:$B$11, B26)+COUNTIF($B$12:$B$17, B26)+COUNTIF($B$19:$B$30, B26)+COUNTIF($B$31:$B$42, B26)+COUNTIF($B$43:$B$44, B26)+COUNTIF($B$45:$B$47, B26)+COUNTIF($B$49:$B$54, B26)+COUNTIF($B$71:$B$71, B26)+COUNTIF($B$72:$B$73, B26)+COUNTIF($B$74:$B$80, B26)+COUNTIF($B$81:$B$81, B26)+COUNTIF($B$82:$B$87, B26)+COUNTIF($B$88:$B$88, B26)+COUNTIF($B$55:$B$70, B26)&gt;1,NOT(ISBLANK(B26)))</formula>
    </cfRule>
    <cfRule type="duplicateValues" dxfId="2605" priority="1678" stopIfTrue="1"/>
  </conditionalFormatting>
  <conditionalFormatting sqref="B27:B30">
    <cfRule type="expression" dxfId="2604" priority="1758" stopIfTrue="1">
      <formula>AND(COUNTIF($B$5:$B$5, B27)+COUNTIF($B$6:$B$6, B27)+COUNTIF($B$8:$B$11, B27)+COUNTIF($B$12:$B$17, B27)+COUNTIF($B$19:$B$30, B27)+COUNTIF($B$31:$B$42, B27)+COUNTIF($B$43:$B$44, B27)+COUNTIF($B$45:$B$47, B27)+COUNTIF($B$49:$B$54, B27)+COUNTIF($B$70:$B$70, B27)+COUNTIF($B$71:$B$72, B27)+COUNTIF($B$73:$B$79, B27)+COUNTIF($B$80:$B$80, B27)+COUNTIF($B$81:$B$86, B27)+COUNTIF($B$87:$B$87, B27)+COUNTIF($B$55:$B$69, B27)&gt;1,NOT(ISBLANK(B27)))</formula>
    </cfRule>
    <cfRule type="duplicateValues" dxfId="2603" priority="1751" stopIfTrue="1"/>
  </conditionalFormatting>
  <conditionalFormatting sqref="B31 B59">
    <cfRule type="expression" dxfId="2602" priority="2111" stopIfTrue="1">
      <formula>AND(COUNTIF($B$1041:$B$65534, B31)+COUNTIF($B$1:$B$925, B31)&gt;1,NOT(ISBLANK(B31)))</formula>
    </cfRule>
  </conditionalFormatting>
  <conditionalFormatting sqref="B32 B60">
    <cfRule type="expression" dxfId="2601" priority="2113" stopIfTrue="1">
      <formula>AND(COUNTIF($B$1040:$B$65534, B32)+COUNTIF($B$1:$B$924, B32)&gt;1,NOT(ISBLANK(B32)))</formula>
    </cfRule>
  </conditionalFormatting>
  <conditionalFormatting sqref="B33 B61">
    <cfRule type="expression" dxfId="2600" priority="2115" stopIfTrue="1">
      <formula>AND(COUNTIF($B$1039:$B$65534, B33)+COUNTIF($B$1:$B$923, B33)&gt;1,NOT(ISBLANK(B33)))</formula>
    </cfRule>
  </conditionalFormatting>
  <conditionalFormatting sqref="B34:B35 B54:B55 B62">
    <cfRule type="expression" dxfId="2599" priority="2117" stopIfTrue="1">
      <formula>AND(COUNTIF($B$1038:$B$65534, B34)+COUNTIF($B$1:$B$922, B34)&gt;1,NOT(ISBLANK(B34)))</formula>
    </cfRule>
  </conditionalFormatting>
  <conditionalFormatting sqref="B36:B37">
    <cfRule type="expression" dxfId="2598" priority="2120" stopIfTrue="1">
      <formula>AND(COUNTIF($B$1036:$B$65534, B36)+COUNTIF($B$1:$B$920, B36)&gt;1,NOT(ISBLANK(B36)))</formula>
    </cfRule>
  </conditionalFormatting>
  <conditionalFormatting sqref="B38">
    <cfRule type="expression" dxfId="2597" priority="2121" stopIfTrue="1">
      <formula>AND(COUNTIF($B$1034:$B$65534, B38)+COUNTIF($B$1:$B$918, B38)&gt;1,NOT(ISBLANK(B38)))</formula>
    </cfRule>
  </conditionalFormatting>
  <conditionalFormatting sqref="B39:B40">
    <cfRule type="expression" dxfId="2596" priority="2122" stopIfTrue="1">
      <formula>AND(COUNTIF($B$1033:$B$65534, B39)+COUNTIF($B$1:$B$917, B39)&gt;1,NOT(ISBLANK(B39)))</formula>
    </cfRule>
  </conditionalFormatting>
  <conditionalFormatting sqref="B41">
    <cfRule type="expression" dxfId="2595" priority="2123" stopIfTrue="1">
      <formula>AND(COUNTIF($B$1031:$B$65534, B41)+COUNTIF($B$1:$B$915, B41)&gt;1,NOT(ISBLANK(B41)))</formula>
    </cfRule>
  </conditionalFormatting>
  <conditionalFormatting sqref="B42 B53">
    <cfRule type="expression" dxfId="2594" priority="2124" stopIfTrue="1">
      <formula>AND(COUNTIF($B$1030:$B$65534, B42)+COUNTIF($B$1:$B$914, B42)&gt;1,NOT(ISBLANK(B42)))</formula>
    </cfRule>
  </conditionalFormatting>
  <conditionalFormatting sqref="B43">
    <cfRule type="expression" dxfId="2593" priority="2126" stopIfTrue="1">
      <formula>AND(COUNTIF($B$1029:$B$65534, B43)+COUNTIF($B$1:$B$913, B43)&gt;1,NOT(ISBLANK(B43)))</formula>
    </cfRule>
  </conditionalFormatting>
  <conditionalFormatting sqref="B44 B51">
    <cfRule type="expression" dxfId="2592" priority="2127" stopIfTrue="1">
      <formula>AND(COUNTIF($B$1028:$B$65534, B44)+COUNTIF($B$1:$B$912, B44)&gt;1,NOT(ISBLANK(B44)))</formula>
    </cfRule>
  </conditionalFormatting>
  <conditionalFormatting sqref="B45:B46 B49 B52">
    <cfRule type="expression" dxfId="2591" priority="2129" stopIfTrue="1">
      <formula>AND(COUNTIF($B$1027:$B$65534, B45)+COUNTIF($B$1:$B$911, B45)&gt;1,NOT(ISBLANK(B45)))</formula>
    </cfRule>
  </conditionalFormatting>
  <conditionalFormatting sqref="B47:B48 B50">
    <cfRule type="expression" dxfId="2590" priority="2132" stopIfTrue="1">
      <formula>AND(COUNTIF($B$1026:$B$65534, B47)+COUNTIF($B$1:$B$910, B47)&gt;1,NOT(ISBLANK(B47)))</formula>
    </cfRule>
  </conditionalFormatting>
  <conditionalFormatting sqref="B56:B58">
    <cfRule type="expression" dxfId="2589" priority="2134" stopIfTrue="1">
      <formula>AND(COUNTIF($B$1042:$B$65534, B56)+COUNTIF($B$1:$B$926, B56)&gt;1,NOT(ISBLANK(B56)))</formula>
    </cfRule>
  </conditionalFormatting>
  <conditionalFormatting sqref="B63">
    <cfRule type="expression" dxfId="2588" priority="2135" stopIfTrue="1">
      <formula>AND(COUNTIF($B$1037:$B$65534, B63)+COUNTIF($B$1:$B$921, B63)&gt;1,NOT(ISBLANK(B63)))</formula>
    </cfRule>
  </conditionalFormatting>
  <conditionalFormatting sqref="B64:B72">
    <cfRule type="expression" dxfId="2587" priority="2137" stopIfTrue="1">
      <formula>AND(COUNTIF($B$1077:$B$65637, B64)+COUNTIF($B$1:$B$985, B64)&gt;1,NOT(ISBLANK(B64)))</formula>
    </cfRule>
    <cfRule type="duplicateValues" dxfId="2586" priority="2136"/>
  </conditionalFormatting>
  <conditionalFormatting sqref="B74">
    <cfRule type="expression" dxfId="2585" priority="2139" stopIfTrue="1">
      <formula>AND(COUNTIF($B$1067:$B$65627, B74)+COUNTIF($B$1:$B$975, B74)&gt;1,NOT(ISBLANK(B74)))</formula>
    </cfRule>
    <cfRule type="duplicateValues" dxfId="2584" priority="2138"/>
  </conditionalFormatting>
  <conditionalFormatting sqref="B75">
    <cfRule type="expression" dxfId="2583" priority="2141" stopIfTrue="1">
      <formula>AND(COUNTIF($B$1066:$B$65626, B75)+COUNTIF($B$1:$B$974, B75)&gt;1,NOT(ISBLANK(B75)))</formula>
    </cfRule>
    <cfRule type="duplicateValues" dxfId="2582" priority="2140"/>
  </conditionalFormatting>
  <conditionalFormatting sqref="B76">
    <cfRule type="duplicateValues" dxfId="2581" priority="2142"/>
    <cfRule type="expression" dxfId="2580" priority="2143" stopIfTrue="1">
      <formula>AND(COUNTIF($B$1065:$B$65625, B76)+COUNTIF($B$1:$B$973, B76)&gt;1,NOT(ISBLANK(B76)))</formula>
    </cfRule>
  </conditionalFormatting>
  <conditionalFormatting sqref="B77">
    <cfRule type="duplicateValues" dxfId="2579" priority="2144"/>
    <cfRule type="expression" dxfId="2578" priority="2145" stopIfTrue="1">
      <formula>AND(COUNTIF($B$1064:$B$65624, B77)+COUNTIF($B$1:$B$972, B77)&gt;1,NOT(ISBLANK(B77)))</formula>
    </cfRule>
  </conditionalFormatting>
  <conditionalFormatting sqref="B78">
    <cfRule type="expression" dxfId="2577" priority="2147" stopIfTrue="1">
      <formula>AND(COUNTIF($B$1063:$B$65623, B78)+COUNTIF($B$1:$B$971, B78)&gt;1,NOT(ISBLANK(B78)))</formula>
    </cfRule>
    <cfRule type="duplicateValues" dxfId="2576" priority="2146"/>
  </conditionalFormatting>
  <conditionalFormatting sqref="B79:B141 B143:B255">
    <cfRule type="expression" dxfId="2575" priority="2150" stopIfTrue="1">
      <formula>AND(COUNTIF($B$1062:$B$65622, B79)+COUNTIF($B$1:$B$970, B79)&gt;1,NOT(ISBLANK(B79)))</formula>
    </cfRule>
    <cfRule type="duplicateValues" dxfId="2574" priority="2149"/>
    <cfRule type="duplicateValues" dxfId="2573" priority="2148"/>
  </conditionalFormatting>
  <conditionalFormatting sqref="B256">
    <cfRule type="expression" dxfId="2572" priority="2154" stopIfTrue="1">
      <formula>AND(COUNTIF($B$555:$B$65115, B256)+COUNTIF($B$1:$B$463, B256)&gt;1,NOT(ISBLANK(B256)))</formula>
    </cfRule>
    <cfRule type="duplicateValues" dxfId="2571" priority="2155"/>
    <cfRule type="duplicateValues" dxfId="2570" priority="2156"/>
  </conditionalFormatting>
  <conditionalFormatting sqref="B257">
    <cfRule type="expression" dxfId="2569" priority="2157" stopIfTrue="1">
      <formula>AND(COUNTIF($B$554:$B$65114, B257)+COUNTIF($B$1:$B$462, B257)&gt;1,NOT(ISBLANK(B257)))</formula>
    </cfRule>
    <cfRule type="duplicateValues" dxfId="2568" priority="2158"/>
    <cfRule type="duplicateValues" dxfId="2567" priority="2159"/>
  </conditionalFormatting>
  <conditionalFormatting sqref="B258">
    <cfRule type="duplicateValues" dxfId="2566" priority="2161"/>
    <cfRule type="expression" dxfId="2565" priority="2160" stopIfTrue="1">
      <formula>AND(COUNTIF($B$553:$B$65113, B258)+COUNTIF($B$1:$B$461, B258)&gt;1,NOT(ISBLANK(B258)))</formula>
    </cfRule>
    <cfRule type="duplicateValues" dxfId="2564" priority="2162"/>
  </conditionalFormatting>
  <conditionalFormatting sqref="B259">
    <cfRule type="duplicateValues" dxfId="2563" priority="2164"/>
    <cfRule type="expression" dxfId="2562" priority="2163" stopIfTrue="1">
      <formula>AND(COUNTIF($B$552:$B$65112, B259)+COUNTIF($B$1:$B$460, B259)&gt;1,NOT(ISBLANK(B259)))</formula>
    </cfRule>
    <cfRule type="duplicateValues" dxfId="2561" priority="2165"/>
  </conditionalFormatting>
  <conditionalFormatting sqref="B260">
    <cfRule type="duplicateValues" dxfId="2560" priority="2168"/>
    <cfRule type="duplicateValues" dxfId="2559" priority="2167"/>
    <cfRule type="expression" dxfId="2558" priority="2166" stopIfTrue="1">
      <formula>AND(COUNTIF($B$551:$B$65111, B260)+COUNTIF($B$1:$B$459, B260)&gt;1,NOT(ISBLANK(B260)))</formula>
    </cfRule>
  </conditionalFormatting>
  <conditionalFormatting sqref="B261">
    <cfRule type="duplicateValues" dxfId="2557" priority="2171"/>
    <cfRule type="duplicateValues" dxfId="2556" priority="2170"/>
    <cfRule type="expression" dxfId="2555" priority="2169" stopIfTrue="1">
      <formula>AND(COUNTIF($B$550:$B$65110, B261)+COUNTIF($B$1:$B$458, B261)&gt;1,NOT(ISBLANK(B261)))</formula>
    </cfRule>
  </conditionalFormatting>
  <conditionalFormatting sqref="B262">
    <cfRule type="duplicateValues" dxfId="2554" priority="2174"/>
    <cfRule type="expression" dxfId="2553" priority="2173" stopIfTrue="1">
      <formula>AND(COUNTIF($B$549:$B$65109, B262)+COUNTIF($B$1:$B$457, B262)&gt;1,NOT(ISBLANK(B262)))</formula>
    </cfRule>
    <cfRule type="duplicateValues" dxfId="2552" priority="2172"/>
    <cfRule type="duplicateValues" dxfId="2551" priority="2175"/>
  </conditionalFormatting>
  <conditionalFormatting sqref="B263">
    <cfRule type="duplicateValues" dxfId="2550" priority="2179"/>
    <cfRule type="duplicateValues" dxfId="2549" priority="2178"/>
    <cfRule type="expression" dxfId="2548" priority="2177" stopIfTrue="1">
      <formula>AND(COUNTIF($B$548:$B$65108, B263)+COUNTIF($B$1:$B$456, B263)&gt;1,NOT(ISBLANK(B263)))</formula>
    </cfRule>
    <cfRule type="duplicateValues" dxfId="2547" priority="2176"/>
  </conditionalFormatting>
  <conditionalFormatting sqref="B264">
    <cfRule type="duplicateValues" dxfId="2546" priority="2200"/>
    <cfRule type="duplicateValues" dxfId="2545" priority="2199"/>
    <cfRule type="duplicateValues" dxfId="2544" priority="2198"/>
    <cfRule type="duplicateValues" dxfId="2543" priority="2197"/>
    <cfRule type="duplicateValues" dxfId="2542" priority="2196"/>
    <cfRule type="duplicateValues" dxfId="2541" priority="2195" stopIfTrue="1"/>
    <cfRule type="duplicateValues" dxfId="2540" priority="2194" stopIfTrue="1"/>
    <cfRule type="duplicateValues" dxfId="2539" priority="2193" stopIfTrue="1"/>
    <cfRule type="duplicateValues" dxfId="2538" priority="2192" stopIfTrue="1"/>
    <cfRule type="duplicateValues" dxfId="2537" priority="2191" stopIfTrue="1"/>
    <cfRule type="duplicateValues" dxfId="2536" priority="2190" stopIfTrue="1"/>
    <cfRule type="duplicateValues" dxfId="2535" priority="2189"/>
    <cfRule type="duplicateValues" dxfId="2534" priority="2188"/>
    <cfRule type="duplicateValues" dxfId="2533" priority="2187"/>
    <cfRule type="expression" dxfId="2532" priority="2186" stopIfTrue="1">
      <formula>AND(COUNTIF($B$469:$B$65029, B264)+COUNTIF($B$1:$B$377, B264)&gt;1,NOT(ISBLANK(B264)))</formula>
    </cfRule>
    <cfRule type="duplicateValues" dxfId="2531" priority="2185"/>
    <cfRule type="duplicateValues" dxfId="2530" priority="2184"/>
    <cfRule type="duplicateValues" dxfId="2529" priority="2183"/>
    <cfRule type="duplicateValues" dxfId="2528" priority="2182"/>
    <cfRule type="duplicateValues" dxfId="2527" priority="2181"/>
    <cfRule type="duplicateValues" dxfId="2526" priority="2180"/>
    <cfRule type="duplicateValues" dxfId="2525" priority="2201"/>
    <cfRule type="duplicateValues" dxfId="2524" priority="2248" stopIfTrue="1"/>
    <cfRule type="duplicateValues" dxfId="2523" priority="2249" stopIfTrue="1"/>
    <cfRule type="duplicateValues" dxfId="2522" priority="2250" stopIfTrue="1"/>
    <cfRule type="duplicateValues" dxfId="2521" priority="2251"/>
    <cfRule type="duplicateValues" dxfId="2520" priority="2252"/>
    <cfRule type="duplicateValues" dxfId="2519" priority="2253"/>
    <cfRule type="duplicateValues" dxfId="2518" priority="2254"/>
    <cfRule type="duplicateValues" dxfId="2517" priority="2255"/>
    <cfRule type="duplicateValues" dxfId="2516" priority="2256"/>
    <cfRule type="duplicateValues" dxfId="2515" priority="2257"/>
    <cfRule type="duplicateValues" dxfId="2514" priority="2258" stopIfTrue="1"/>
    <cfRule type="expression" dxfId="2513" priority="2259" stopIfTrue="1">
      <formula>#REF!="ABANDONO"</formula>
    </cfRule>
    <cfRule type="expression" dxfId="2512" priority="2260" stopIfTrue="1">
      <formula>#REF!="FINALIZADO"</formula>
    </cfRule>
    <cfRule type="expression" dxfId="2511" priority="2261" stopIfTrue="1">
      <formula>#REF!="EN PROCESO"</formula>
    </cfRule>
    <cfRule type="expression" dxfId="2510" priority="2262" stopIfTrue="1">
      <formula>#REF!="DESAPROBADO"</formula>
    </cfRule>
    <cfRule type="expression" dxfId="2509" priority="1614" stopIfTrue="1">
      <formula>#REF!="DESAPROBADO"</formula>
    </cfRule>
    <cfRule type="expression" dxfId="2508" priority="1613" stopIfTrue="1">
      <formula>#REF!="EN PROCESO"</formula>
    </cfRule>
    <cfRule type="expression" dxfId="2507" priority="1612" stopIfTrue="1">
      <formula>#REF!="FINALIZADO"</formula>
    </cfRule>
    <cfRule type="expression" dxfId="2506" priority="1611" stopIfTrue="1">
      <formula>#REF!="ABANDONO"</formula>
    </cfRule>
    <cfRule type="duplicateValues" dxfId="2505" priority="1610" stopIfTrue="1"/>
    <cfRule type="duplicateValues" dxfId="2504" priority="1609"/>
    <cfRule type="duplicateValues" dxfId="2503" priority="1608"/>
    <cfRule type="duplicateValues" dxfId="2502" priority="1607"/>
    <cfRule type="duplicateValues" dxfId="2501" priority="1606"/>
    <cfRule type="duplicateValues" dxfId="2500" priority="1605"/>
    <cfRule type="duplicateValues" dxfId="2499" priority="1604"/>
    <cfRule type="duplicateValues" dxfId="2498" priority="1603"/>
    <cfRule type="duplicateValues" dxfId="2497" priority="2203" stopIfTrue="1"/>
    <cfRule type="duplicateValues" dxfId="2496" priority="1602" stopIfTrue="1"/>
    <cfRule type="duplicateValues" dxfId="2495" priority="1601" stopIfTrue="1"/>
    <cfRule type="duplicateValues" dxfId="2494" priority="1600" stopIfTrue="1"/>
    <cfRule type="duplicateValues" dxfId="2493" priority="1599" stopIfTrue="1"/>
    <cfRule type="duplicateValues" dxfId="2492" priority="1598" stopIfTrue="1"/>
    <cfRule type="duplicateValues" dxfId="2491" priority="1597"/>
    <cfRule type="duplicateValues" dxfId="2490" priority="1596"/>
    <cfRule type="duplicateValues" dxfId="2489" priority="1595"/>
    <cfRule type="duplicateValues" dxfId="2488" priority="1594"/>
    <cfRule type="duplicateValues" dxfId="2487" priority="1593"/>
    <cfRule type="duplicateValues" dxfId="2486" priority="1592"/>
    <cfRule type="duplicateValues" dxfId="2485" priority="1591"/>
    <cfRule type="duplicateValues" dxfId="2484" priority="1590" stopIfTrue="1"/>
    <cfRule type="duplicateValues" dxfId="2483" priority="1589" stopIfTrue="1"/>
    <cfRule type="duplicateValues" dxfId="2482" priority="1588" stopIfTrue="1"/>
    <cfRule type="duplicateValues" dxfId="2481" priority="1587" stopIfTrue="1"/>
    <cfRule type="duplicateValues" dxfId="2480" priority="1586" stopIfTrue="1"/>
    <cfRule type="duplicateValues" dxfId="2479" priority="1585" stopIfTrue="1"/>
    <cfRule type="duplicateValues" dxfId="2478" priority="1584"/>
    <cfRule type="duplicateValues" dxfId="2477" priority="1583"/>
    <cfRule type="duplicateValues" dxfId="2476" priority="1582"/>
    <cfRule type="expression" dxfId="2475" priority="1581" stopIfTrue="1">
      <formula>AND(COUNTIF($B$470:$B$65030, B264)+COUNTIF($B$1:$B$378, B264)&gt;1,NOT(ISBLANK(B264)))</formula>
    </cfRule>
    <cfRule type="duplicateValues" dxfId="2474" priority="1580"/>
    <cfRule type="duplicateValues" dxfId="2473" priority="2263" stopIfTrue="1"/>
    <cfRule type="duplicateValues" dxfId="2472" priority="1579"/>
    <cfRule type="duplicateValues" dxfId="2471" priority="1578"/>
    <cfRule type="duplicateValues" dxfId="2470" priority="1577"/>
    <cfRule type="duplicateValues" dxfId="2469" priority="1576"/>
    <cfRule type="duplicateValues" dxfId="2468" priority="1575"/>
    <cfRule type="expression" dxfId="2467" priority="1858" stopIfTrue="1">
      <formula>AND(COUNTIF(#REF!, B264)+COUNTIF($B$1:$B$23, B264)&gt;1,NOT(ISBLANK(B264)))</formula>
    </cfRule>
    <cfRule type="duplicateValues" dxfId="2466" priority="1857" stopIfTrue="1"/>
    <cfRule type="expression" dxfId="2465" priority="1856" stopIfTrue="1">
      <formula>#REF!="DESAPROBADO"</formula>
    </cfRule>
    <cfRule type="expression" dxfId="2464" priority="1855" stopIfTrue="1">
      <formula>#REF!="EN PROCESO"</formula>
    </cfRule>
    <cfRule type="expression" dxfId="2463" priority="1854" stopIfTrue="1">
      <formula>#REF!="FINALIZADO"</formula>
    </cfRule>
    <cfRule type="expression" dxfId="2462" priority="1853" stopIfTrue="1">
      <formula>#REF!="ABANDONO"</formula>
    </cfRule>
    <cfRule type="duplicateValues" dxfId="2461" priority="1852" stopIfTrue="1"/>
    <cfRule type="duplicateValues" dxfId="2460" priority="1851"/>
    <cfRule type="duplicateValues" dxfId="2459" priority="1850"/>
    <cfRule type="duplicateValues" dxfId="2458" priority="1849"/>
    <cfRule type="duplicateValues" dxfId="2457" priority="1848"/>
    <cfRule type="duplicateValues" dxfId="2456" priority="1847"/>
    <cfRule type="duplicateValues" dxfId="2455" priority="1846"/>
    <cfRule type="duplicateValues" dxfId="2454" priority="1845"/>
    <cfRule type="duplicateValues" dxfId="2453" priority="1844" stopIfTrue="1"/>
    <cfRule type="duplicateValues" dxfId="2452" priority="2246" stopIfTrue="1"/>
    <cfRule type="duplicateValues" dxfId="2451" priority="1842" stopIfTrue="1"/>
    <cfRule type="duplicateValues" dxfId="2450" priority="1841" stopIfTrue="1"/>
    <cfRule type="duplicateValues" dxfId="2449" priority="1840" stopIfTrue="1"/>
    <cfRule type="duplicateValues" dxfId="2448" priority="1839"/>
    <cfRule type="duplicateValues" dxfId="2447" priority="1838"/>
    <cfRule type="duplicateValues" dxfId="2446" priority="1837"/>
    <cfRule type="duplicateValues" dxfId="2445" priority="1836"/>
    <cfRule type="duplicateValues" dxfId="2444" priority="1835"/>
    <cfRule type="duplicateValues" dxfId="2443" priority="1834"/>
    <cfRule type="duplicateValues" dxfId="2442" priority="1833"/>
    <cfRule type="duplicateValues" dxfId="2441" priority="1832" stopIfTrue="1"/>
    <cfRule type="duplicateValues" dxfId="2440" priority="1831" stopIfTrue="1"/>
    <cfRule type="duplicateValues" dxfId="2439" priority="1830" stopIfTrue="1"/>
    <cfRule type="duplicateValues" dxfId="2438" priority="1829" stopIfTrue="1"/>
    <cfRule type="duplicateValues" dxfId="2437" priority="1828" stopIfTrue="1"/>
    <cfRule type="duplicateValues" dxfId="2436" priority="1827" stopIfTrue="1"/>
    <cfRule type="duplicateValues" dxfId="2435" priority="1826"/>
    <cfRule type="duplicateValues" dxfId="2434" priority="1825"/>
    <cfRule type="duplicateValues" dxfId="2433" priority="1824"/>
    <cfRule type="expression" dxfId="2432" priority="1823" stopIfTrue="1">
      <formula>AND(COUNTIF($B$469:$B$65029, B264)+COUNTIF($B$1:$B$377, B264)&gt;1,NOT(ISBLANK(B264)))</formula>
    </cfRule>
    <cfRule type="duplicateValues" dxfId="2431" priority="1822"/>
    <cfRule type="duplicateValues" dxfId="2430" priority="1821"/>
    <cfRule type="duplicateValues" dxfId="2429" priority="1820"/>
    <cfRule type="duplicateValues" dxfId="2428" priority="1819"/>
    <cfRule type="duplicateValues" dxfId="2427" priority="1818"/>
    <cfRule type="duplicateValues" dxfId="2426" priority="1817"/>
    <cfRule type="duplicateValues" dxfId="2425" priority="2245"/>
    <cfRule type="duplicateValues" dxfId="2424" priority="2244"/>
    <cfRule type="duplicateValues" dxfId="2423" priority="2243"/>
    <cfRule type="duplicateValues" dxfId="2422" priority="2242"/>
    <cfRule type="duplicateValues" dxfId="2421" priority="2241"/>
    <cfRule type="duplicateValues" dxfId="2420" priority="2240"/>
    <cfRule type="duplicateValues" dxfId="2419" priority="2239"/>
    <cfRule type="duplicateValues" dxfId="2418" priority="2238" stopIfTrue="1"/>
    <cfRule type="duplicateValues" dxfId="2417" priority="2237" stopIfTrue="1"/>
    <cfRule type="duplicateValues" dxfId="2416" priority="2236" stopIfTrue="1"/>
    <cfRule type="duplicateValues" dxfId="2415" priority="2247" stopIfTrue="1"/>
    <cfRule type="duplicateValues" dxfId="2414" priority="2235" stopIfTrue="1"/>
    <cfRule type="duplicateValues" dxfId="2413" priority="2234" stopIfTrue="1"/>
    <cfRule type="duplicateValues" dxfId="2412" priority="2233" stopIfTrue="1"/>
    <cfRule type="duplicateValues" dxfId="2411" priority="2232"/>
    <cfRule type="duplicateValues" dxfId="2410" priority="2231"/>
    <cfRule type="duplicateValues" dxfId="2409" priority="2230"/>
    <cfRule type="expression" dxfId="2408" priority="2229" stopIfTrue="1">
      <formula>AND(COUNTIF($B$468:$B$65028, B264)+COUNTIF($B$1:$B$376, B264)&gt;1,NOT(ISBLANK(B264)))</formula>
    </cfRule>
    <cfRule type="duplicateValues" dxfId="2407" priority="2228"/>
    <cfRule type="duplicateValues" dxfId="2406" priority="2227"/>
    <cfRule type="duplicateValues" dxfId="2405" priority="2226"/>
    <cfRule type="duplicateValues" dxfId="2404" priority="2225"/>
    <cfRule type="duplicateValues" dxfId="2403" priority="2224"/>
    <cfRule type="duplicateValues" dxfId="2402" priority="2223"/>
    <cfRule type="duplicateValues" dxfId="2401" priority="2222"/>
    <cfRule type="expression" dxfId="2400" priority="2221" stopIfTrue="1">
      <formula>AND(COUNTIF(#REF!, B264)+COUNTIF($B$1:$B$23, B264)&gt;1,NOT(ISBLANK(B264)))</formula>
    </cfRule>
    <cfRule type="duplicateValues" dxfId="2399" priority="2220" stopIfTrue="1"/>
    <cfRule type="expression" dxfId="2398" priority="2219" stopIfTrue="1">
      <formula>#REF!="DESAPROBADO"</formula>
    </cfRule>
    <cfRule type="expression" dxfId="2397" priority="2218" stopIfTrue="1">
      <formula>#REF!="EN PROCESO"</formula>
    </cfRule>
    <cfRule type="expression" dxfId="2396" priority="2217" stopIfTrue="1">
      <formula>#REF!="FINALIZADO"</formula>
    </cfRule>
    <cfRule type="expression" dxfId="2395" priority="2216" stopIfTrue="1">
      <formula>#REF!="ABANDONO"</formula>
    </cfRule>
    <cfRule type="duplicateValues" dxfId="2394" priority="2215" stopIfTrue="1"/>
    <cfRule type="duplicateValues" dxfId="2393" priority="2214"/>
    <cfRule type="duplicateValues" dxfId="2392" priority="2213"/>
    <cfRule type="duplicateValues" dxfId="2391" priority="2212"/>
    <cfRule type="duplicateValues" dxfId="2390" priority="2211"/>
    <cfRule type="duplicateValues" dxfId="2389" priority="2210"/>
    <cfRule type="duplicateValues" dxfId="2388" priority="2209"/>
    <cfRule type="duplicateValues" dxfId="2387" priority="2208"/>
    <cfRule type="duplicateValues" dxfId="2386" priority="2207" stopIfTrue="1"/>
    <cfRule type="duplicateValues" dxfId="2385" priority="2206" stopIfTrue="1"/>
    <cfRule type="duplicateValues" dxfId="2384" priority="2205" stopIfTrue="1"/>
    <cfRule type="duplicateValues" dxfId="2383" priority="2204" stopIfTrue="1"/>
    <cfRule type="duplicateValues" dxfId="2382" priority="1615" stopIfTrue="1"/>
    <cfRule type="expression" dxfId="2381" priority="1616" stopIfTrue="1">
      <formula>AND(COUNTIF(#REF!, B264)+COUNTIF($B$1:$B$23, B264)&gt;1,NOT(ISBLANK(B264)))</formula>
    </cfRule>
    <cfRule type="duplicateValues" dxfId="2380" priority="1617"/>
    <cfRule type="duplicateValues" dxfId="2379" priority="2202"/>
    <cfRule type="duplicateValues" dxfId="2378" priority="1843" stopIfTrue="1"/>
  </conditionalFormatting>
  <conditionalFormatting sqref="B265">
    <cfRule type="duplicateValues" dxfId="2377" priority="2288" stopIfTrue="1"/>
    <cfRule type="duplicateValues" dxfId="2376" priority="2287" stopIfTrue="1"/>
    <cfRule type="duplicateValues" dxfId="2375" priority="2286"/>
    <cfRule type="duplicateValues" dxfId="2374" priority="2285"/>
    <cfRule type="duplicateValues" dxfId="2373" priority="2284"/>
    <cfRule type="duplicateValues" dxfId="2372" priority="2283"/>
    <cfRule type="duplicateValues" dxfId="2371" priority="2282"/>
    <cfRule type="duplicateValues" dxfId="2370" priority="2281"/>
    <cfRule type="duplicateValues" dxfId="2369" priority="2280"/>
    <cfRule type="duplicateValues" dxfId="2368" priority="2279" stopIfTrue="1"/>
    <cfRule type="duplicateValues" dxfId="2367" priority="2278" stopIfTrue="1"/>
    <cfRule type="duplicateValues" dxfId="2366" priority="2277" stopIfTrue="1"/>
    <cfRule type="duplicateValues" dxfId="2365" priority="2276" stopIfTrue="1"/>
    <cfRule type="duplicateValues" dxfId="2364" priority="2275" stopIfTrue="1"/>
    <cfRule type="duplicateValues" dxfId="2363" priority="2274" stopIfTrue="1"/>
    <cfRule type="duplicateValues" dxfId="2362" priority="2273"/>
    <cfRule type="duplicateValues" dxfId="2361" priority="2272"/>
    <cfRule type="duplicateValues" dxfId="2360" priority="2271"/>
    <cfRule type="expression" dxfId="2359" priority="2270" stopIfTrue="1">
      <formula>AND(COUNTIF($B$468:$B$65028, B265)+COUNTIF($B$1:$B$376, B265)&gt;1,NOT(ISBLANK(B265)))</formula>
    </cfRule>
    <cfRule type="duplicateValues" dxfId="2358" priority="2269"/>
    <cfRule type="duplicateValues" dxfId="2357" priority="2268"/>
    <cfRule type="duplicateValues" dxfId="2356" priority="1864"/>
    <cfRule type="duplicateValues" dxfId="2355" priority="2267"/>
    <cfRule type="duplicateValues" dxfId="2354" priority="2266"/>
    <cfRule type="duplicateValues" dxfId="2353" priority="2265"/>
    <cfRule type="duplicateValues" dxfId="2352" priority="2264"/>
    <cfRule type="expression" dxfId="2351" priority="1900" stopIfTrue="1">
      <formula>AND(COUNTIF(#REF!, B265)+COUNTIF($B$1:$B$22, B265)&gt;1,NOT(ISBLANK(B265)))</formula>
    </cfRule>
    <cfRule type="duplicateValues" dxfId="2350" priority="1899" stopIfTrue="1"/>
    <cfRule type="expression" dxfId="2349" priority="1898" stopIfTrue="1">
      <formula>#REF!="DESAPROBADO"</formula>
    </cfRule>
    <cfRule type="expression" dxfId="2348" priority="1897" stopIfTrue="1">
      <formula>#REF!="EN PROCESO"</formula>
    </cfRule>
    <cfRule type="expression" dxfId="2347" priority="1896" stopIfTrue="1">
      <formula>#REF!="FINALIZADO"</formula>
    </cfRule>
    <cfRule type="expression" dxfId="2346" priority="1895" stopIfTrue="1">
      <formula>#REF!="ABANDONO"</formula>
    </cfRule>
    <cfRule type="duplicateValues" dxfId="2345" priority="1894" stopIfTrue="1"/>
    <cfRule type="duplicateValues" dxfId="2344" priority="1893"/>
    <cfRule type="duplicateValues" dxfId="2343" priority="1892"/>
    <cfRule type="duplicateValues" dxfId="2342" priority="1891"/>
    <cfRule type="duplicateValues" dxfId="2341" priority="1890"/>
    <cfRule type="duplicateValues" dxfId="2340" priority="1889"/>
    <cfRule type="duplicateValues" dxfId="2339" priority="1888"/>
    <cfRule type="duplicateValues" dxfId="2338" priority="1887"/>
    <cfRule type="duplicateValues" dxfId="2337" priority="1886" stopIfTrue="1"/>
    <cfRule type="duplicateValues" dxfId="2336" priority="1885" stopIfTrue="1"/>
    <cfRule type="duplicateValues" dxfId="2335" priority="1884" stopIfTrue="1"/>
    <cfRule type="duplicateValues" dxfId="2334" priority="1883" stopIfTrue="1"/>
    <cfRule type="duplicateValues" dxfId="2333" priority="1882" stopIfTrue="1"/>
    <cfRule type="duplicateValues" dxfId="2332" priority="1881"/>
    <cfRule type="duplicateValues" dxfId="2331" priority="1880"/>
    <cfRule type="duplicateValues" dxfId="2330" priority="1879"/>
    <cfRule type="duplicateValues" dxfId="2329" priority="1877"/>
    <cfRule type="duplicateValues" dxfId="2328" priority="1876"/>
    <cfRule type="duplicateValues" dxfId="2327" priority="1875"/>
    <cfRule type="duplicateValues" dxfId="2326" priority="1874" stopIfTrue="1"/>
    <cfRule type="duplicateValues" dxfId="2325" priority="1873" stopIfTrue="1"/>
    <cfRule type="duplicateValues" dxfId="2324" priority="1872" stopIfTrue="1"/>
    <cfRule type="duplicateValues" dxfId="2323" priority="1871" stopIfTrue="1"/>
    <cfRule type="duplicateValues" dxfId="2322" priority="1870" stopIfTrue="1"/>
    <cfRule type="duplicateValues" dxfId="2321" priority="1869" stopIfTrue="1"/>
    <cfRule type="duplicateValues" dxfId="2320" priority="1868"/>
    <cfRule type="duplicateValues" dxfId="2319" priority="1867"/>
    <cfRule type="duplicateValues" dxfId="2318" priority="1866"/>
    <cfRule type="expression" dxfId="2317" priority="1865" stopIfTrue="1">
      <formula>AND(COUNTIF($B$468:$B$65028, B265)+COUNTIF($B$1:$B$376, B265)&gt;1,NOT(ISBLANK(B265)))</formula>
    </cfRule>
    <cfRule type="duplicateValues" dxfId="2316" priority="1878"/>
    <cfRule type="duplicateValues" dxfId="2315" priority="1863"/>
    <cfRule type="duplicateValues" dxfId="2314" priority="1862"/>
    <cfRule type="duplicateValues" dxfId="2313" priority="1861"/>
    <cfRule type="duplicateValues" dxfId="2312" priority="1860"/>
    <cfRule type="duplicateValues" dxfId="2311" priority="1859"/>
    <cfRule type="duplicateValues" dxfId="2310" priority="1574"/>
    <cfRule type="expression" dxfId="2309" priority="1573" stopIfTrue="1">
      <formula>AND(COUNTIF(#REF!, B265)+COUNTIF($B$1:$B$22, B265)&gt;1,NOT(ISBLANK(B265)))</formula>
    </cfRule>
    <cfRule type="duplicateValues" dxfId="2308" priority="1572" stopIfTrue="1"/>
    <cfRule type="expression" dxfId="2307" priority="1571" stopIfTrue="1">
      <formula>#REF!="DESAPROBADO"</formula>
    </cfRule>
    <cfRule type="expression" dxfId="2306" priority="1570" stopIfTrue="1">
      <formula>#REF!="EN PROCESO"</formula>
    </cfRule>
    <cfRule type="expression" dxfId="2305" priority="1569" stopIfTrue="1">
      <formula>#REF!="FINALIZADO"</formula>
    </cfRule>
    <cfRule type="expression" dxfId="2304" priority="1568" stopIfTrue="1">
      <formula>#REF!="ABANDONO"</formula>
    </cfRule>
    <cfRule type="duplicateValues" dxfId="2303" priority="1567" stopIfTrue="1"/>
    <cfRule type="duplicateValues" dxfId="2302" priority="1566"/>
    <cfRule type="duplicateValues" dxfId="2301" priority="1565"/>
    <cfRule type="duplicateValues" dxfId="2300" priority="1564"/>
    <cfRule type="duplicateValues" dxfId="2299" priority="1563"/>
    <cfRule type="duplicateValues" dxfId="2298" priority="1562"/>
    <cfRule type="duplicateValues" dxfId="2297" priority="1561"/>
    <cfRule type="duplicateValues" dxfId="2296" priority="1560"/>
    <cfRule type="duplicateValues" dxfId="2295" priority="1559" stopIfTrue="1"/>
    <cfRule type="duplicateValues" dxfId="2294" priority="1558" stopIfTrue="1"/>
    <cfRule type="duplicateValues" dxfId="2293" priority="1557" stopIfTrue="1"/>
    <cfRule type="duplicateValues" dxfId="2292" priority="1556" stopIfTrue="1"/>
    <cfRule type="duplicateValues" dxfId="2291" priority="1555" stopIfTrue="1"/>
    <cfRule type="duplicateValues" dxfId="2290" priority="1554"/>
    <cfRule type="duplicateValues" dxfId="2289" priority="1553"/>
    <cfRule type="duplicateValues" dxfId="2288" priority="1552"/>
    <cfRule type="duplicateValues" dxfId="2287" priority="1551"/>
    <cfRule type="duplicateValues" dxfId="2286" priority="1550"/>
    <cfRule type="duplicateValues" dxfId="2285" priority="1549"/>
    <cfRule type="duplicateValues" dxfId="2284" priority="1548"/>
    <cfRule type="duplicateValues" dxfId="2283" priority="1547" stopIfTrue="1"/>
    <cfRule type="duplicateValues" dxfId="2282" priority="1546" stopIfTrue="1"/>
    <cfRule type="duplicateValues" dxfId="2281" priority="1545" stopIfTrue="1"/>
    <cfRule type="duplicateValues" dxfId="2280" priority="1544" stopIfTrue="1"/>
    <cfRule type="duplicateValues" dxfId="2279" priority="1543" stopIfTrue="1"/>
    <cfRule type="duplicateValues" dxfId="2278" priority="1542" stopIfTrue="1"/>
    <cfRule type="duplicateValues" dxfId="2277" priority="1541"/>
    <cfRule type="duplicateValues" dxfId="2276" priority="1540"/>
    <cfRule type="duplicateValues" dxfId="2275" priority="1539"/>
    <cfRule type="expression" dxfId="2274" priority="1538" stopIfTrue="1">
      <formula>AND(COUNTIF($B$469:$B$65029, B265)+COUNTIF($B$1:$B$377, B265)&gt;1,NOT(ISBLANK(B265)))</formula>
    </cfRule>
    <cfRule type="duplicateValues" dxfId="2273" priority="1537"/>
    <cfRule type="duplicateValues" dxfId="2272" priority="1536"/>
    <cfRule type="duplicateValues" dxfId="2271" priority="1535"/>
    <cfRule type="duplicateValues" dxfId="2270" priority="1534"/>
    <cfRule type="duplicateValues" dxfId="2269" priority="1533"/>
    <cfRule type="duplicateValues" dxfId="2268" priority="1532"/>
    <cfRule type="duplicateValues" dxfId="2267" priority="2347" stopIfTrue="1"/>
    <cfRule type="expression" dxfId="2266" priority="2346" stopIfTrue="1">
      <formula>#REF!="DESAPROBADO"</formula>
    </cfRule>
    <cfRule type="expression" dxfId="2265" priority="2345" stopIfTrue="1">
      <formula>#REF!="EN PROCESO"</formula>
    </cfRule>
    <cfRule type="expression" dxfId="2264" priority="2344" stopIfTrue="1">
      <formula>#REF!="FINALIZADO"</formula>
    </cfRule>
    <cfRule type="expression" dxfId="2263" priority="2343" stopIfTrue="1">
      <formula>#REF!="ABANDONO"</formula>
    </cfRule>
    <cfRule type="duplicateValues" dxfId="2262" priority="2342" stopIfTrue="1"/>
    <cfRule type="duplicateValues" dxfId="2261" priority="2341"/>
    <cfRule type="duplicateValues" dxfId="2260" priority="2340"/>
    <cfRule type="duplicateValues" dxfId="2259" priority="2339"/>
    <cfRule type="duplicateValues" dxfId="2258" priority="2338"/>
    <cfRule type="duplicateValues" dxfId="2257" priority="2337"/>
    <cfRule type="duplicateValues" dxfId="2256" priority="2336"/>
    <cfRule type="duplicateValues" dxfId="2255" priority="2335"/>
    <cfRule type="duplicateValues" dxfId="2254" priority="2334" stopIfTrue="1"/>
    <cfRule type="duplicateValues" dxfId="2253" priority="2333" stopIfTrue="1"/>
    <cfRule type="duplicateValues" dxfId="2252" priority="2332" stopIfTrue="1"/>
    <cfRule type="duplicateValues" dxfId="2251" priority="2331" stopIfTrue="1"/>
    <cfRule type="duplicateValues" dxfId="2250" priority="2330" stopIfTrue="1"/>
    <cfRule type="duplicateValues" dxfId="2249" priority="2329"/>
    <cfRule type="duplicateValues" dxfId="2248" priority="2328"/>
    <cfRule type="duplicateValues" dxfId="2247" priority="2327"/>
    <cfRule type="duplicateValues" dxfId="2246" priority="2326"/>
    <cfRule type="duplicateValues" dxfId="2245" priority="2325"/>
    <cfRule type="duplicateValues" dxfId="2244" priority="2324"/>
    <cfRule type="duplicateValues" dxfId="2243" priority="2323"/>
    <cfRule type="duplicateValues" dxfId="2242" priority="2322" stopIfTrue="1"/>
    <cfRule type="duplicateValues" dxfId="2241" priority="2321" stopIfTrue="1"/>
    <cfRule type="duplicateValues" dxfId="2240" priority="2320" stopIfTrue="1"/>
    <cfRule type="duplicateValues" dxfId="2239" priority="2319" stopIfTrue="1"/>
    <cfRule type="duplicateValues" dxfId="2238" priority="2318" stopIfTrue="1"/>
    <cfRule type="duplicateValues" dxfId="2237" priority="2317" stopIfTrue="1"/>
    <cfRule type="duplicateValues" dxfId="2236" priority="2316"/>
    <cfRule type="duplicateValues" dxfId="2235" priority="2315"/>
    <cfRule type="duplicateValues" dxfId="2234" priority="2314"/>
    <cfRule type="expression" dxfId="2233" priority="2313" stopIfTrue="1">
      <formula>AND(COUNTIF($B$467:$B$65027, B265)+COUNTIF($B$1:$B$375, B265)&gt;1,NOT(ISBLANK(B265)))</formula>
    </cfRule>
    <cfRule type="duplicateValues" dxfId="2232" priority="2312"/>
    <cfRule type="duplicateValues" dxfId="2231" priority="2311"/>
    <cfRule type="duplicateValues" dxfId="2230" priority="2310"/>
    <cfRule type="duplicateValues" dxfId="2229" priority="2309"/>
    <cfRule type="duplicateValues" dxfId="2228" priority="2308"/>
    <cfRule type="duplicateValues" dxfId="2227" priority="2307"/>
    <cfRule type="duplicateValues" dxfId="2226" priority="2306"/>
    <cfRule type="expression" dxfId="2225" priority="2305" stopIfTrue="1">
      <formula>AND(COUNTIF(#REF!, B265)+COUNTIF($B$1:$B$22, B265)&gt;1,NOT(ISBLANK(B265)))</formula>
    </cfRule>
    <cfRule type="duplicateValues" dxfId="2224" priority="2304" stopIfTrue="1"/>
    <cfRule type="expression" dxfId="2223" priority="2303" stopIfTrue="1">
      <formula>#REF!="DESAPROBADO"</formula>
    </cfRule>
    <cfRule type="expression" dxfId="2222" priority="2302" stopIfTrue="1">
      <formula>#REF!="EN PROCESO"</formula>
    </cfRule>
    <cfRule type="expression" dxfId="2221" priority="2301" stopIfTrue="1">
      <formula>#REF!="FINALIZADO"</formula>
    </cfRule>
    <cfRule type="expression" dxfId="2220" priority="2300" stopIfTrue="1">
      <formula>#REF!="ABANDONO"</formula>
    </cfRule>
    <cfRule type="duplicateValues" dxfId="2219" priority="2299" stopIfTrue="1"/>
    <cfRule type="duplicateValues" dxfId="2218" priority="2298"/>
    <cfRule type="duplicateValues" dxfId="2217" priority="2297"/>
    <cfRule type="duplicateValues" dxfId="2216" priority="2296"/>
    <cfRule type="duplicateValues" dxfId="2215" priority="2295"/>
    <cfRule type="duplicateValues" dxfId="2214" priority="2294"/>
    <cfRule type="duplicateValues" dxfId="2213" priority="2293"/>
    <cfRule type="duplicateValues" dxfId="2212" priority="2292"/>
    <cfRule type="duplicateValues" dxfId="2211" priority="2291" stopIfTrue="1"/>
    <cfRule type="duplicateValues" dxfId="2210" priority="2290" stopIfTrue="1"/>
    <cfRule type="duplicateValues" dxfId="2209" priority="2289" stopIfTrue="1"/>
  </conditionalFormatting>
  <conditionalFormatting sqref="B266">
    <cfRule type="duplicateValues" dxfId="2208" priority="2403" stopIfTrue="1"/>
    <cfRule type="duplicateValues" dxfId="2207" priority="2371" stopIfTrue="1"/>
    <cfRule type="duplicateValues" dxfId="2206" priority="2370"/>
    <cfRule type="duplicateValues" dxfId="2205" priority="2369"/>
    <cfRule type="duplicateValues" dxfId="2204" priority="2368"/>
    <cfRule type="duplicateValues" dxfId="2203" priority="2367"/>
    <cfRule type="duplicateValues" dxfId="2202" priority="2366"/>
    <cfRule type="duplicateValues" dxfId="2201" priority="2365"/>
    <cfRule type="duplicateValues" dxfId="2200" priority="2364"/>
    <cfRule type="duplicateValues" dxfId="2199" priority="2363" stopIfTrue="1"/>
    <cfRule type="duplicateValues" dxfId="2198" priority="2362" stopIfTrue="1"/>
    <cfRule type="duplicateValues" dxfId="2197" priority="2361" stopIfTrue="1"/>
    <cfRule type="duplicateValues" dxfId="2196" priority="2360" stopIfTrue="1"/>
    <cfRule type="duplicateValues" dxfId="2195" priority="2359" stopIfTrue="1"/>
    <cfRule type="duplicateValues" dxfId="2194" priority="2358" stopIfTrue="1"/>
    <cfRule type="duplicateValues" dxfId="2193" priority="2357"/>
    <cfRule type="duplicateValues" dxfId="2192" priority="2356"/>
    <cfRule type="duplicateValues" dxfId="2191" priority="2355"/>
    <cfRule type="expression" dxfId="2190" priority="2354" stopIfTrue="1">
      <formula>AND(COUNTIF($B$467:$B$65027, B266)+COUNTIF($B$1:$B$375, B266)&gt;1,NOT(ISBLANK(B266)))</formula>
    </cfRule>
    <cfRule type="duplicateValues" dxfId="2189" priority="2353"/>
    <cfRule type="duplicateValues" dxfId="2188" priority="2352"/>
    <cfRule type="duplicateValues" dxfId="2187" priority="2351"/>
    <cfRule type="duplicateValues" dxfId="2186" priority="2350"/>
    <cfRule type="duplicateValues" dxfId="2185" priority="2349"/>
    <cfRule type="duplicateValues" dxfId="2184" priority="2348"/>
    <cfRule type="duplicateValues" dxfId="2183" priority="1531"/>
    <cfRule type="expression" dxfId="2182" priority="1530" stopIfTrue="1">
      <formula>AND(COUNTIF(#REF!, B266)+COUNTIF($B$1:$B$21, B266)&gt;1,NOT(ISBLANK(B266)))</formula>
    </cfRule>
    <cfRule type="duplicateValues" dxfId="2181" priority="1529" stopIfTrue="1"/>
    <cfRule type="expression" dxfId="2180" priority="1528" stopIfTrue="1">
      <formula>#REF!="DESAPROBADO"</formula>
    </cfRule>
    <cfRule type="expression" dxfId="2179" priority="1527" stopIfTrue="1">
      <formula>#REF!="EN PROCESO"</formula>
    </cfRule>
    <cfRule type="expression" dxfId="2178" priority="1526" stopIfTrue="1">
      <formula>#REF!="FINALIZADO"</formula>
    </cfRule>
    <cfRule type="expression" dxfId="2177" priority="1525" stopIfTrue="1">
      <formula>#REF!="ABANDONO"</formula>
    </cfRule>
    <cfRule type="duplicateValues" dxfId="2176" priority="1524" stopIfTrue="1"/>
    <cfRule type="duplicateValues" dxfId="2175" priority="1523"/>
    <cfRule type="duplicateValues" dxfId="2174" priority="1522"/>
    <cfRule type="duplicateValues" dxfId="2173" priority="1521"/>
    <cfRule type="duplicateValues" dxfId="2172" priority="1520"/>
    <cfRule type="duplicateValues" dxfId="2171" priority="1519"/>
    <cfRule type="duplicateValues" dxfId="2170" priority="1518"/>
    <cfRule type="duplicateValues" dxfId="2169" priority="1517"/>
    <cfRule type="duplicateValues" dxfId="2168" priority="1516" stopIfTrue="1"/>
    <cfRule type="duplicateValues" dxfId="2167" priority="1515" stopIfTrue="1"/>
    <cfRule type="duplicateValues" dxfId="2166" priority="2372" stopIfTrue="1"/>
    <cfRule type="duplicateValues" dxfId="2165" priority="1514" stopIfTrue="1"/>
    <cfRule type="duplicateValues" dxfId="2164" priority="1513" stopIfTrue="1"/>
    <cfRule type="duplicateValues" dxfId="2163" priority="1512" stopIfTrue="1"/>
    <cfRule type="duplicateValues" dxfId="2162" priority="1511"/>
    <cfRule type="duplicateValues" dxfId="2161" priority="1510"/>
    <cfRule type="duplicateValues" dxfId="2160" priority="1509"/>
    <cfRule type="duplicateValues" dxfId="2159" priority="1508"/>
    <cfRule type="duplicateValues" dxfId="2158" priority="1507"/>
    <cfRule type="duplicateValues" dxfId="2157" priority="1506"/>
    <cfRule type="duplicateValues" dxfId="2156" priority="1505"/>
    <cfRule type="duplicateValues" dxfId="2155" priority="1504" stopIfTrue="1"/>
    <cfRule type="duplicateValues" dxfId="2154" priority="1503" stopIfTrue="1"/>
    <cfRule type="duplicateValues" dxfId="2153" priority="1502" stopIfTrue="1"/>
    <cfRule type="duplicateValues" dxfId="2152" priority="1501" stopIfTrue="1"/>
    <cfRule type="duplicateValues" dxfId="2151" priority="1500" stopIfTrue="1"/>
    <cfRule type="duplicateValues" dxfId="2150" priority="1499" stopIfTrue="1"/>
    <cfRule type="duplicateValues" dxfId="2149" priority="1498"/>
    <cfRule type="duplicateValues" dxfId="2148" priority="1497"/>
    <cfRule type="duplicateValues" dxfId="2147" priority="1496"/>
    <cfRule type="expression" dxfId="2146" priority="1495" stopIfTrue="1">
      <formula>AND(COUNTIF($B$468:$B$65028, B266)+COUNTIF($B$1:$B$376, B266)&gt;1,NOT(ISBLANK(B266)))</formula>
    </cfRule>
    <cfRule type="duplicateValues" dxfId="2145" priority="1494"/>
    <cfRule type="duplicateValues" dxfId="2144" priority="1493"/>
    <cfRule type="duplicateValues" dxfId="2143" priority="1492"/>
    <cfRule type="duplicateValues" dxfId="2142" priority="1491"/>
    <cfRule type="duplicateValues" dxfId="2141" priority="1490"/>
    <cfRule type="duplicateValues" dxfId="2140" priority="1489"/>
    <cfRule type="duplicateValues" dxfId="2139" priority="1918"/>
    <cfRule type="duplicateValues" dxfId="2138" priority="1901"/>
    <cfRule type="duplicateValues" dxfId="2137" priority="1902"/>
    <cfRule type="duplicateValues" dxfId="2136" priority="1903"/>
    <cfRule type="duplicateValues" dxfId="2135" priority="1904"/>
    <cfRule type="duplicateValues" dxfId="2134" priority="1905"/>
    <cfRule type="duplicateValues" dxfId="2133" priority="1906"/>
    <cfRule type="expression" dxfId="2132" priority="1907" stopIfTrue="1">
      <formula>AND(COUNTIF($B$467:$B$65027, B266)+COUNTIF($B$1:$B$375, B266)&gt;1,NOT(ISBLANK(B266)))</formula>
    </cfRule>
    <cfRule type="duplicateValues" dxfId="2131" priority="1908"/>
    <cfRule type="duplicateValues" dxfId="2130" priority="1909"/>
    <cfRule type="duplicateValues" dxfId="2129" priority="1910"/>
    <cfRule type="duplicateValues" dxfId="2128" priority="1911" stopIfTrue="1"/>
    <cfRule type="duplicateValues" dxfId="2127" priority="1912" stopIfTrue="1"/>
    <cfRule type="duplicateValues" dxfId="2126" priority="1913" stopIfTrue="1"/>
    <cfRule type="duplicateValues" dxfId="2125" priority="1914" stopIfTrue="1"/>
    <cfRule type="duplicateValues" dxfId="2124" priority="1915" stopIfTrue="1"/>
    <cfRule type="duplicateValues" dxfId="2123" priority="1916" stopIfTrue="1"/>
    <cfRule type="duplicateValues" dxfId="2122" priority="1917"/>
    <cfRule type="duplicateValues" dxfId="2121" priority="1919"/>
    <cfRule type="duplicateValues" dxfId="2120" priority="1920"/>
    <cfRule type="duplicateValues" dxfId="2119" priority="1921"/>
    <cfRule type="duplicateValues" dxfId="2118" priority="1922"/>
    <cfRule type="duplicateValues" dxfId="2117" priority="1923"/>
    <cfRule type="duplicateValues" dxfId="2116" priority="1924" stopIfTrue="1"/>
    <cfRule type="duplicateValues" dxfId="2115" priority="1925" stopIfTrue="1"/>
    <cfRule type="duplicateValues" dxfId="2114" priority="1926" stopIfTrue="1"/>
    <cfRule type="duplicateValues" dxfId="2113" priority="1927" stopIfTrue="1"/>
    <cfRule type="duplicateValues" dxfId="2112" priority="1928" stopIfTrue="1"/>
    <cfRule type="duplicateValues" dxfId="2111" priority="1929"/>
    <cfRule type="duplicateValues" dxfId="2110" priority="1930"/>
    <cfRule type="duplicateValues" dxfId="2109" priority="1931"/>
    <cfRule type="duplicateValues" dxfId="2108" priority="1932"/>
    <cfRule type="duplicateValues" dxfId="2107" priority="1933"/>
    <cfRule type="duplicateValues" dxfId="2106" priority="1934"/>
    <cfRule type="duplicateValues" dxfId="2105" priority="1935"/>
    <cfRule type="duplicateValues" dxfId="2104" priority="1936" stopIfTrue="1"/>
    <cfRule type="expression" dxfId="2103" priority="1937" stopIfTrue="1">
      <formula>#REF!="ABANDONO"</formula>
    </cfRule>
    <cfRule type="expression" dxfId="2102" priority="1938" stopIfTrue="1">
      <formula>#REF!="FINALIZADO"</formula>
    </cfRule>
    <cfRule type="expression" dxfId="2101" priority="1939" stopIfTrue="1">
      <formula>#REF!="EN PROCESO"</formula>
    </cfRule>
    <cfRule type="expression" dxfId="2100" priority="1940" stopIfTrue="1">
      <formula>#REF!="DESAPROBADO"</formula>
    </cfRule>
    <cfRule type="duplicateValues" dxfId="2099" priority="1941" stopIfTrue="1"/>
    <cfRule type="duplicateValues" dxfId="2098" priority="2431" stopIfTrue="1"/>
    <cfRule type="expression" dxfId="2097" priority="2430" stopIfTrue="1">
      <formula>#REF!="DESAPROBADO"</formula>
    </cfRule>
    <cfRule type="expression" dxfId="2096" priority="2429" stopIfTrue="1">
      <formula>#REF!="EN PROCESO"</formula>
    </cfRule>
    <cfRule type="expression" dxfId="2095" priority="2428" stopIfTrue="1">
      <formula>#REF!="FINALIZADO"</formula>
    </cfRule>
    <cfRule type="expression" dxfId="2094" priority="2427" stopIfTrue="1">
      <formula>#REF!="ABANDONO"</formula>
    </cfRule>
    <cfRule type="duplicateValues" dxfId="2093" priority="2426" stopIfTrue="1"/>
    <cfRule type="duplicateValues" dxfId="2092" priority="2425"/>
    <cfRule type="duplicateValues" dxfId="2091" priority="2424"/>
    <cfRule type="duplicateValues" dxfId="2090" priority="2423"/>
    <cfRule type="duplicateValues" dxfId="2089" priority="2422"/>
    <cfRule type="duplicateValues" dxfId="2088" priority="2421"/>
    <cfRule type="duplicateValues" dxfId="2087" priority="2420"/>
    <cfRule type="duplicateValues" dxfId="2086" priority="2419"/>
    <cfRule type="duplicateValues" dxfId="2085" priority="2418" stopIfTrue="1"/>
    <cfRule type="duplicateValues" dxfId="2084" priority="2417" stopIfTrue="1"/>
    <cfRule type="duplicateValues" dxfId="2083" priority="2416" stopIfTrue="1"/>
    <cfRule type="duplicateValues" dxfId="2082" priority="2415" stopIfTrue="1"/>
    <cfRule type="duplicateValues" dxfId="2081" priority="2414" stopIfTrue="1"/>
    <cfRule type="duplicateValues" dxfId="2080" priority="2413"/>
    <cfRule type="duplicateValues" dxfId="2079" priority="2412"/>
    <cfRule type="duplicateValues" dxfId="2078" priority="2411"/>
    <cfRule type="duplicateValues" dxfId="2077" priority="2410"/>
    <cfRule type="duplicateValues" dxfId="2076" priority="2409"/>
    <cfRule type="duplicateValues" dxfId="2075" priority="2408"/>
    <cfRule type="duplicateValues" dxfId="2074" priority="2407"/>
    <cfRule type="duplicateValues" dxfId="2073" priority="2406" stopIfTrue="1"/>
    <cfRule type="duplicateValues" dxfId="2072" priority="2405" stopIfTrue="1"/>
    <cfRule type="duplicateValues" dxfId="2071" priority="2404" stopIfTrue="1"/>
    <cfRule type="expression" dxfId="2070" priority="1942" stopIfTrue="1">
      <formula>AND(COUNTIF(#REF!, B266)+COUNTIF($B$1:$B$21, B266)&gt;1,NOT(ISBLANK(B266)))</formula>
    </cfRule>
    <cfRule type="duplicateValues" dxfId="2069" priority="2402" stopIfTrue="1"/>
    <cfRule type="duplicateValues" dxfId="2068" priority="2401" stopIfTrue="1"/>
    <cfRule type="duplicateValues" dxfId="2067" priority="2400"/>
    <cfRule type="duplicateValues" dxfId="2066" priority="2399"/>
    <cfRule type="duplicateValues" dxfId="2065" priority="2398"/>
    <cfRule type="expression" dxfId="2064" priority="2397" stopIfTrue="1">
      <formula>AND(COUNTIF($B$466:$B$65026, B266)+COUNTIF($B$1:$B$374, B266)&gt;1,NOT(ISBLANK(B266)))</formula>
    </cfRule>
    <cfRule type="duplicateValues" dxfId="2063" priority="2396"/>
    <cfRule type="duplicateValues" dxfId="2062" priority="2395"/>
    <cfRule type="duplicateValues" dxfId="2061" priority="2394"/>
    <cfRule type="duplicateValues" dxfId="2060" priority="2393"/>
    <cfRule type="duplicateValues" dxfId="2059" priority="2392"/>
    <cfRule type="duplicateValues" dxfId="2058" priority="2391"/>
    <cfRule type="duplicateValues" dxfId="2057" priority="2390"/>
    <cfRule type="expression" dxfId="2056" priority="2389" stopIfTrue="1">
      <formula>AND(COUNTIF(#REF!, B266)+COUNTIF($B$1:$B$21, B266)&gt;1,NOT(ISBLANK(B266)))</formula>
    </cfRule>
    <cfRule type="duplicateValues" dxfId="2055" priority="2388" stopIfTrue="1"/>
    <cfRule type="expression" dxfId="2054" priority="2387" stopIfTrue="1">
      <formula>#REF!="DESAPROBADO"</formula>
    </cfRule>
    <cfRule type="expression" dxfId="2053" priority="2386" stopIfTrue="1">
      <formula>#REF!="EN PROCESO"</formula>
    </cfRule>
    <cfRule type="expression" dxfId="2052" priority="2385" stopIfTrue="1">
      <formula>#REF!="FINALIZADO"</formula>
    </cfRule>
    <cfRule type="expression" dxfId="2051" priority="2384" stopIfTrue="1">
      <formula>#REF!="ABANDONO"</formula>
    </cfRule>
    <cfRule type="duplicateValues" dxfId="2050" priority="2383" stopIfTrue="1"/>
    <cfRule type="duplicateValues" dxfId="2049" priority="2382"/>
    <cfRule type="duplicateValues" dxfId="2048" priority="2381"/>
    <cfRule type="duplicateValues" dxfId="2047" priority="2380"/>
    <cfRule type="duplicateValues" dxfId="2046" priority="2379"/>
    <cfRule type="duplicateValues" dxfId="2045" priority="2378"/>
    <cfRule type="duplicateValues" dxfId="2044" priority="2377"/>
    <cfRule type="duplicateValues" dxfId="2043" priority="2376"/>
    <cfRule type="duplicateValues" dxfId="2042" priority="2375" stopIfTrue="1"/>
    <cfRule type="duplicateValues" dxfId="2041" priority="2374" stopIfTrue="1"/>
    <cfRule type="duplicateValues" dxfId="2040" priority="2373" stopIfTrue="1"/>
  </conditionalFormatting>
  <conditionalFormatting sqref="B267">
    <cfRule type="duplicateValues" dxfId="2039" priority="2499" stopIfTrue="1"/>
    <cfRule type="expression" dxfId="2038" priority="1984" stopIfTrue="1">
      <formula>AND(COUNTIF(#REF!, B267)+COUNTIF($B$1:$B$20, B267)&gt;1,NOT(ISBLANK(B267)))</formula>
    </cfRule>
    <cfRule type="duplicateValues" dxfId="2037" priority="1983" stopIfTrue="1"/>
    <cfRule type="expression" dxfId="2036" priority="1982" stopIfTrue="1">
      <formula>#REF!="DESAPROBADO"</formula>
    </cfRule>
    <cfRule type="expression" dxfId="2035" priority="1981" stopIfTrue="1">
      <formula>#REF!="EN PROCESO"</formula>
    </cfRule>
    <cfRule type="expression" dxfId="2034" priority="1980" stopIfTrue="1">
      <formula>#REF!="FINALIZADO"</formula>
    </cfRule>
    <cfRule type="expression" dxfId="2033" priority="1979" stopIfTrue="1">
      <formula>#REF!="ABANDONO"</formula>
    </cfRule>
    <cfRule type="duplicateValues" dxfId="2032" priority="1978" stopIfTrue="1"/>
    <cfRule type="duplicateValues" dxfId="2031" priority="1977"/>
    <cfRule type="duplicateValues" dxfId="2030" priority="1976"/>
    <cfRule type="duplicateValues" dxfId="2029" priority="1975"/>
    <cfRule type="duplicateValues" dxfId="2028" priority="1974"/>
    <cfRule type="duplicateValues" dxfId="2027" priority="1973"/>
    <cfRule type="duplicateValues" dxfId="2026" priority="1972"/>
    <cfRule type="duplicateValues" dxfId="2025" priority="1971"/>
    <cfRule type="duplicateValues" dxfId="2024" priority="1970" stopIfTrue="1"/>
    <cfRule type="duplicateValues" dxfId="2023" priority="1969" stopIfTrue="1"/>
    <cfRule type="duplicateValues" dxfId="2022" priority="1968" stopIfTrue="1"/>
    <cfRule type="duplicateValues" dxfId="2021" priority="1967" stopIfTrue="1"/>
    <cfRule type="duplicateValues" dxfId="2020" priority="1966" stopIfTrue="1"/>
    <cfRule type="duplicateValues" dxfId="2019" priority="1965"/>
    <cfRule type="duplicateValues" dxfId="2018" priority="1963"/>
    <cfRule type="duplicateValues" dxfId="2017" priority="1962"/>
    <cfRule type="duplicateValues" dxfId="2016" priority="1961"/>
    <cfRule type="duplicateValues" dxfId="2015" priority="1960"/>
    <cfRule type="duplicateValues" dxfId="2014" priority="1480"/>
    <cfRule type="duplicateValues" dxfId="2013" priority="2515" stopIfTrue="1"/>
    <cfRule type="expression" dxfId="2012" priority="2514" stopIfTrue="1">
      <formula>#REF!="DESAPROBADO"</formula>
    </cfRule>
    <cfRule type="expression" dxfId="2011" priority="2513" stopIfTrue="1">
      <formula>#REF!="EN PROCESO"</formula>
    </cfRule>
    <cfRule type="expression" dxfId="2010" priority="2512" stopIfTrue="1">
      <formula>#REF!="FINALIZADO"</formula>
    </cfRule>
    <cfRule type="expression" dxfId="2009" priority="2511" stopIfTrue="1">
      <formula>#REF!="ABANDONO"</formula>
    </cfRule>
    <cfRule type="duplicateValues" dxfId="2008" priority="2510" stopIfTrue="1"/>
    <cfRule type="duplicateValues" dxfId="2007" priority="2509"/>
    <cfRule type="duplicateValues" dxfId="2006" priority="2508"/>
    <cfRule type="duplicateValues" dxfId="2005" priority="2507"/>
    <cfRule type="duplicateValues" dxfId="2004" priority="2506"/>
    <cfRule type="duplicateValues" dxfId="2003" priority="2505"/>
    <cfRule type="duplicateValues" dxfId="2002" priority="2504"/>
    <cfRule type="duplicateValues" dxfId="2001" priority="2503"/>
    <cfRule type="duplicateValues" dxfId="2000" priority="2502" stopIfTrue="1"/>
    <cfRule type="duplicateValues" dxfId="1999" priority="2501" stopIfTrue="1"/>
    <cfRule type="duplicateValues" dxfId="1998" priority="2500" stopIfTrue="1"/>
    <cfRule type="duplicateValues" dxfId="1997" priority="2498" stopIfTrue="1"/>
    <cfRule type="duplicateValues" dxfId="1996" priority="2497"/>
    <cfRule type="duplicateValues" dxfId="1995" priority="2496"/>
    <cfRule type="duplicateValues" dxfId="1994" priority="2495"/>
    <cfRule type="duplicateValues" dxfId="1993" priority="2494"/>
    <cfRule type="duplicateValues" dxfId="1992" priority="2493"/>
    <cfRule type="duplicateValues" dxfId="1991" priority="2492"/>
    <cfRule type="duplicateValues" dxfId="1990" priority="2491"/>
    <cfRule type="duplicateValues" dxfId="1989" priority="2490" stopIfTrue="1"/>
    <cfRule type="duplicateValues" dxfId="1988" priority="2489" stopIfTrue="1"/>
    <cfRule type="duplicateValues" dxfId="1987" priority="2488" stopIfTrue="1"/>
    <cfRule type="duplicateValues" dxfId="1986" priority="2487" stopIfTrue="1"/>
    <cfRule type="duplicateValues" dxfId="1985" priority="2486" stopIfTrue="1"/>
    <cfRule type="duplicateValues" dxfId="1984" priority="2485" stopIfTrue="1"/>
    <cfRule type="duplicateValues" dxfId="1983" priority="2484"/>
    <cfRule type="duplicateValues" dxfId="1982" priority="2483"/>
    <cfRule type="duplicateValues" dxfId="1981" priority="2482"/>
    <cfRule type="expression" dxfId="1980" priority="2481" stopIfTrue="1">
      <formula>AND(COUNTIF($B$465:$B$65025, B267)+COUNTIF($B$1:$B$373, B267)&gt;1,NOT(ISBLANK(B267)))</formula>
    </cfRule>
    <cfRule type="duplicateValues" dxfId="1979" priority="2480"/>
    <cfRule type="duplicateValues" dxfId="1978" priority="2479"/>
    <cfRule type="duplicateValues" dxfId="1977" priority="2478"/>
    <cfRule type="duplicateValues" dxfId="1976" priority="2477"/>
    <cfRule type="duplicateValues" dxfId="1975" priority="2476"/>
    <cfRule type="duplicateValues" dxfId="1974" priority="2475"/>
    <cfRule type="duplicateValues" dxfId="1973" priority="2474"/>
    <cfRule type="duplicateValues" dxfId="1972" priority="1959"/>
    <cfRule type="duplicateValues" dxfId="1971" priority="2472" stopIfTrue="1"/>
    <cfRule type="expression" dxfId="1970" priority="2471" stopIfTrue="1">
      <formula>#REF!="DESAPROBADO"</formula>
    </cfRule>
    <cfRule type="expression" dxfId="1969" priority="2470" stopIfTrue="1">
      <formula>#REF!="EN PROCESO"</formula>
    </cfRule>
    <cfRule type="expression" dxfId="1968" priority="2469" stopIfTrue="1">
      <formula>#REF!="FINALIZADO"</formula>
    </cfRule>
    <cfRule type="expression" dxfId="1967" priority="2468" stopIfTrue="1">
      <formula>#REF!="ABANDONO"</formula>
    </cfRule>
    <cfRule type="duplicateValues" dxfId="1966" priority="2467" stopIfTrue="1"/>
    <cfRule type="duplicateValues" dxfId="1965" priority="2466"/>
    <cfRule type="duplicateValues" dxfId="1964" priority="2465"/>
    <cfRule type="duplicateValues" dxfId="1963" priority="2464"/>
    <cfRule type="duplicateValues" dxfId="1962" priority="2463"/>
    <cfRule type="duplicateValues" dxfId="1961" priority="2462"/>
    <cfRule type="duplicateValues" dxfId="1960" priority="2461"/>
    <cfRule type="duplicateValues" dxfId="1959" priority="2460"/>
    <cfRule type="duplicateValues" dxfId="1958" priority="2459" stopIfTrue="1"/>
    <cfRule type="duplicateValues" dxfId="1957" priority="2458" stopIfTrue="1"/>
    <cfRule type="duplicateValues" dxfId="1956" priority="1456" stopIfTrue="1"/>
    <cfRule type="duplicateValues" dxfId="1955" priority="2456" stopIfTrue="1"/>
    <cfRule type="duplicateValues" dxfId="1954" priority="2455" stopIfTrue="1"/>
    <cfRule type="duplicateValues" dxfId="1953" priority="2454"/>
    <cfRule type="duplicateValues" dxfId="1952" priority="2453"/>
    <cfRule type="duplicateValues" dxfId="1951" priority="2452"/>
    <cfRule type="duplicateValues" dxfId="1950" priority="2451"/>
    <cfRule type="duplicateValues" dxfId="1949" priority="2450"/>
    <cfRule type="duplicateValues" dxfId="1948" priority="2449"/>
    <cfRule type="duplicateValues" dxfId="1947" priority="2448"/>
    <cfRule type="duplicateValues" dxfId="1946" priority="2447" stopIfTrue="1"/>
    <cfRule type="duplicateValues" dxfId="1945" priority="2446" stopIfTrue="1"/>
    <cfRule type="duplicateValues" dxfId="1944" priority="2445" stopIfTrue="1"/>
    <cfRule type="duplicateValues" dxfId="1943" priority="2444" stopIfTrue="1"/>
    <cfRule type="duplicateValues" dxfId="1942" priority="2443" stopIfTrue="1"/>
    <cfRule type="duplicateValues" dxfId="1941" priority="2442" stopIfTrue="1"/>
    <cfRule type="duplicateValues" dxfId="1940" priority="2441"/>
    <cfRule type="duplicateValues" dxfId="1939" priority="2440"/>
    <cfRule type="duplicateValues" dxfId="1938" priority="2439"/>
    <cfRule type="expression" dxfId="1937" priority="2438" stopIfTrue="1">
      <formula>AND(COUNTIF($B$466:$B$65026, B267)+COUNTIF($B$1:$B$374, B267)&gt;1,NOT(ISBLANK(B267)))</formula>
    </cfRule>
    <cfRule type="duplicateValues" dxfId="1936" priority="2437"/>
    <cfRule type="duplicateValues" dxfId="1935" priority="2436"/>
    <cfRule type="duplicateValues" dxfId="1934" priority="2435"/>
    <cfRule type="duplicateValues" dxfId="1933" priority="2434"/>
    <cfRule type="duplicateValues" dxfId="1932" priority="2433"/>
    <cfRule type="duplicateValues" dxfId="1931" priority="2432"/>
    <cfRule type="expression" dxfId="1930" priority="1485" stopIfTrue="1">
      <formula>#REF!="DESAPROBADO"</formula>
    </cfRule>
    <cfRule type="expression" dxfId="1929" priority="1487" stopIfTrue="1">
      <formula>AND(COUNTIF(#REF!, B267)+COUNTIF($B$1:$B$20, B267)&gt;1,NOT(ISBLANK(B267)))</formula>
    </cfRule>
    <cfRule type="duplicateValues" dxfId="1928" priority="1486" stopIfTrue="1"/>
    <cfRule type="duplicateValues" dxfId="1927" priority="1481" stopIfTrue="1"/>
    <cfRule type="expression" dxfId="1926" priority="1482" stopIfTrue="1">
      <formula>#REF!="ABANDONO"</formula>
    </cfRule>
    <cfRule type="expression" dxfId="1925" priority="1483" stopIfTrue="1">
      <formula>#REF!="FINALIZADO"</formula>
    </cfRule>
    <cfRule type="expression" dxfId="1924" priority="1484" stopIfTrue="1">
      <formula>#REF!="EN PROCESO"</formula>
    </cfRule>
    <cfRule type="duplicateValues" dxfId="1923" priority="1446"/>
    <cfRule type="duplicateValues" dxfId="1922" priority="1447"/>
    <cfRule type="duplicateValues" dxfId="1921" priority="1448"/>
    <cfRule type="duplicateValues" dxfId="1920" priority="1449"/>
    <cfRule type="duplicateValues" dxfId="1919" priority="1450"/>
    <cfRule type="duplicateValues" dxfId="1918" priority="1451"/>
    <cfRule type="expression" dxfId="1917" priority="1452" stopIfTrue="1">
      <formula>AND(COUNTIF($B$467:$B$65027, B267)+COUNTIF($B$1:$B$375, B267)&gt;1,NOT(ISBLANK(B267)))</formula>
    </cfRule>
    <cfRule type="duplicateValues" dxfId="1916" priority="1453"/>
    <cfRule type="duplicateValues" dxfId="1915" priority="1454"/>
    <cfRule type="duplicateValues" dxfId="1914" priority="1455"/>
    <cfRule type="duplicateValues" dxfId="1913" priority="1488"/>
    <cfRule type="duplicateValues" dxfId="1912" priority="2457" stopIfTrue="1"/>
    <cfRule type="duplicateValues" dxfId="1911" priority="1457" stopIfTrue="1"/>
    <cfRule type="duplicateValues" dxfId="1910" priority="1458" stopIfTrue="1"/>
    <cfRule type="duplicateValues" dxfId="1909" priority="1459" stopIfTrue="1"/>
    <cfRule type="duplicateValues" dxfId="1908" priority="1460" stopIfTrue="1"/>
    <cfRule type="duplicateValues" dxfId="1907" priority="1461" stopIfTrue="1"/>
    <cfRule type="duplicateValues" dxfId="1906" priority="1462"/>
    <cfRule type="duplicateValues" dxfId="1905" priority="1463"/>
    <cfRule type="duplicateValues" dxfId="1904" priority="1464"/>
    <cfRule type="duplicateValues" dxfId="1903" priority="1465"/>
    <cfRule type="duplicateValues" dxfId="1902" priority="1466"/>
    <cfRule type="duplicateValues" dxfId="1901" priority="1467"/>
    <cfRule type="duplicateValues" dxfId="1900" priority="1468"/>
    <cfRule type="duplicateValues" dxfId="1899" priority="1469" stopIfTrue="1"/>
    <cfRule type="duplicateValues" dxfId="1898" priority="1470" stopIfTrue="1"/>
    <cfRule type="duplicateValues" dxfId="1897" priority="1471" stopIfTrue="1"/>
    <cfRule type="duplicateValues" dxfId="1896" priority="1472" stopIfTrue="1"/>
    <cfRule type="duplicateValues" dxfId="1895" priority="1473" stopIfTrue="1"/>
    <cfRule type="duplicateValues" dxfId="1894" priority="1474"/>
    <cfRule type="duplicateValues" dxfId="1893" priority="1475"/>
    <cfRule type="duplicateValues" dxfId="1892" priority="1476"/>
    <cfRule type="duplicateValues" dxfId="1891" priority="1477"/>
    <cfRule type="duplicateValues" dxfId="1890" priority="1478"/>
    <cfRule type="duplicateValues" dxfId="1889" priority="1479"/>
    <cfRule type="duplicateValues" dxfId="1888" priority="1964"/>
    <cfRule type="duplicateValues" dxfId="1887" priority="1943"/>
    <cfRule type="duplicateValues" dxfId="1886" priority="1944"/>
    <cfRule type="duplicateValues" dxfId="1885" priority="1945"/>
    <cfRule type="duplicateValues" dxfId="1884" priority="1946"/>
    <cfRule type="duplicateValues" dxfId="1883" priority="1947"/>
    <cfRule type="duplicateValues" dxfId="1882" priority="1948"/>
    <cfRule type="expression" dxfId="1881" priority="1949" stopIfTrue="1">
      <formula>AND(COUNTIF($B$466:$B$65026, B267)+COUNTIF($B$1:$B$374, B267)&gt;1,NOT(ISBLANK(B267)))</formula>
    </cfRule>
    <cfRule type="duplicateValues" dxfId="1880" priority="1950"/>
    <cfRule type="duplicateValues" dxfId="1879" priority="1951"/>
    <cfRule type="duplicateValues" dxfId="1878" priority="1952"/>
    <cfRule type="duplicateValues" dxfId="1877" priority="1953" stopIfTrue="1"/>
    <cfRule type="duplicateValues" dxfId="1876" priority="1954" stopIfTrue="1"/>
    <cfRule type="duplicateValues" dxfId="1875" priority="1955" stopIfTrue="1"/>
    <cfRule type="duplicateValues" dxfId="1874" priority="1956" stopIfTrue="1"/>
    <cfRule type="duplicateValues" dxfId="1873" priority="1957" stopIfTrue="1"/>
    <cfRule type="duplicateValues" dxfId="1872" priority="1958" stopIfTrue="1"/>
  </conditionalFormatting>
  <conditionalFormatting sqref="B267:B268">
    <cfRule type="expression" dxfId="1871" priority="2473" stopIfTrue="1">
      <formula>AND(COUNTIF(#REF!, B267)+COUNTIF($B$1:$B$20, B267)&gt;1,NOT(ISBLANK(B267)))</formula>
    </cfRule>
    <cfRule type="expression" dxfId="1870" priority="2026" stopIfTrue="1">
      <formula>AND(COUNTIF(#REF!, B267)+COUNTIF($B$1:$B$20, B267)&gt;1,NOT(ISBLANK(B267)))</formula>
    </cfRule>
  </conditionalFormatting>
  <conditionalFormatting sqref="B268">
    <cfRule type="duplicateValues" dxfId="1869" priority="1414" stopIfTrue="1"/>
    <cfRule type="duplicateValues" dxfId="1868" priority="1415" stopIfTrue="1"/>
    <cfRule type="duplicateValues" dxfId="1867" priority="1416" stopIfTrue="1"/>
    <cfRule type="duplicateValues" dxfId="1866" priority="1417" stopIfTrue="1"/>
    <cfRule type="duplicateValues" dxfId="1865" priority="1418" stopIfTrue="1"/>
    <cfRule type="duplicateValues" dxfId="1864" priority="1419"/>
    <cfRule type="duplicateValues" dxfId="1863" priority="1420"/>
    <cfRule type="duplicateValues" dxfId="1862" priority="1421"/>
    <cfRule type="duplicateValues" dxfId="1861" priority="1422"/>
    <cfRule type="duplicateValues" dxfId="1860" priority="1423"/>
    <cfRule type="duplicateValues" dxfId="1859" priority="1424"/>
    <cfRule type="duplicateValues" dxfId="1858" priority="1425"/>
    <cfRule type="duplicateValues" dxfId="1857" priority="1426" stopIfTrue="1"/>
    <cfRule type="duplicateValues" dxfId="1856" priority="1427" stopIfTrue="1"/>
    <cfRule type="duplicateValues" dxfId="1855" priority="1428" stopIfTrue="1"/>
    <cfRule type="duplicateValues" dxfId="1854" priority="1429" stopIfTrue="1"/>
    <cfRule type="duplicateValues" dxfId="1853" priority="1430" stopIfTrue="1"/>
    <cfRule type="duplicateValues" dxfId="1852" priority="1431"/>
    <cfRule type="duplicateValues" dxfId="1851" priority="1432"/>
    <cfRule type="duplicateValues" dxfId="1850" priority="1433"/>
    <cfRule type="duplicateValues" dxfId="1849" priority="1434"/>
    <cfRule type="duplicateValues" dxfId="1848" priority="1435"/>
    <cfRule type="duplicateValues" dxfId="1847" priority="1436"/>
    <cfRule type="duplicateValues" dxfId="1846" priority="1437"/>
    <cfRule type="duplicateValues" dxfId="1845" priority="1438" stopIfTrue="1"/>
    <cfRule type="expression" dxfId="1844" priority="1439" stopIfTrue="1">
      <formula>#REF!="ABANDONO"</formula>
    </cfRule>
    <cfRule type="expression" dxfId="1843" priority="1440" stopIfTrue="1">
      <formula>#REF!="FINALIZADO"</formula>
    </cfRule>
    <cfRule type="expression" dxfId="1842" priority="1441" stopIfTrue="1">
      <formula>#REF!="EN PROCESO"</formula>
    </cfRule>
    <cfRule type="expression" dxfId="1841" priority="1442" stopIfTrue="1">
      <formula>#REF!="DESAPROBADO"</formula>
    </cfRule>
    <cfRule type="duplicateValues" dxfId="1840" priority="1443" stopIfTrue="1"/>
    <cfRule type="expression" dxfId="1839" priority="1444" stopIfTrue="1">
      <formula>AND(COUNTIF(#REF!, B268)+COUNTIF($B$1:$B$20, B268)&gt;1,NOT(ISBLANK(B268)))</formula>
    </cfRule>
    <cfRule type="duplicateValues" dxfId="1838" priority="1445"/>
    <cfRule type="duplicateValues" dxfId="1837" priority="2559"/>
    <cfRule type="duplicateValues" dxfId="1836" priority="1985"/>
    <cfRule type="duplicateValues" dxfId="1835" priority="1986"/>
    <cfRule type="duplicateValues" dxfId="1834" priority="1987"/>
    <cfRule type="duplicateValues" dxfId="1833" priority="1988"/>
    <cfRule type="duplicateValues" dxfId="1832" priority="1989"/>
    <cfRule type="duplicateValues" dxfId="1831" priority="1990"/>
    <cfRule type="expression" dxfId="1830" priority="1991" stopIfTrue="1">
      <formula>AND(COUNTIF($B$465:$B$65025, B268)+COUNTIF($B$1:$B$373, B268)&gt;1,NOT(ISBLANK(B268)))</formula>
    </cfRule>
    <cfRule type="duplicateValues" dxfId="1829" priority="1992"/>
    <cfRule type="duplicateValues" dxfId="1828" priority="1993"/>
    <cfRule type="duplicateValues" dxfId="1827" priority="1994"/>
    <cfRule type="duplicateValues" dxfId="1826" priority="1995" stopIfTrue="1"/>
    <cfRule type="duplicateValues" dxfId="1825" priority="1996" stopIfTrue="1"/>
    <cfRule type="duplicateValues" dxfId="1824" priority="1997" stopIfTrue="1"/>
    <cfRule type="duplicateValues" dxfId="1823" priority="1998" stopIfTrue="1"/>
    <cfRule type="duplicateValues" dxfId="1822" priority="1999" stopIfTrue="1"/>
    <cfRule type="duplicateValues" dxfId="1821" priority="2000" stopIfTrue="1"/>
    <cfRule type="duplicateValues" dxfId="1820" priority="2001"/>
    <cfRule type="duplicateValues" dxfId="1819" priority="2002"/>
    <cfRule type="duplicateValues" dxfId="1818" priority="2003"/>
    <cfRule type="duplicateValues" dxfId="1817" priority="2004"/>
    <cfRule type="duplicateValues" dxfId="1816" priority="2005"/>
    <cfRule type="duplicateValues" dxfId="1815" priority="2006"/>
    <cfRule type="duplicateValues" dxfId="1814" priority="2007"/>
    <cfRule type="duplicateValues" dxfId="1813" priority="2008" stopIfTrue="1"/>
    <cfRule type="duplicateValues" dxfId="1812" priority="2009" stopIfTrue="1"/>
    <cfRule type="duplicateValues" dxfId="1811" priority="2010" stopIfTrue="1"/>
    <cfRule type="duplicateValues" dxfId="1810" priority="2011" stopIfTrue="1"/>
    <cfRule type="duplicateValues" dxfId="1809" priority="2012" stopIfTrue="1"/>
    <cfRule type="duplicateValues" dxfId="1808" priority="2013"/>
    <cfRule type="duplicateValues" dxfId="1807" priority="2014"/>
    <cfRule type="duplicateValues" dxfId="1806" priority="2015"/>
    <cfRule type="duplicateValues" dxfId="1805" priority="2016"/>
    <cfRule type="duplicateValues" dxfId="1804" priority="2017"/>
    <cfRule type="duplicateValues" dxfId="1803" priority="2018"/>
    <cfRule type="duplicateValues" dxfId="1802" priority="2019"/>
    <cfRule type="duplicateValues" dxfId="1801" priority="2020" stopIfTrue="1"/>
    <cfRule type="expression" dxfId="1800" priority="2021" stopIfTrue="1">
      <formula>#REF!="ABANDONO"</formula>
    </cfRule>
    <cfRule type="expression" dxfId="1799" priority="2022" stopIfTrue="1">
      <formula>#REF!="FINALIZADO"</formula>
    </cfRule>
    <cfRule type="expression" dxfId="1798" priority="2023" stopIfTrue="1">
      <formula>#REF!="EN PROCESO"</formula>
    </cfRule>
    <cfRule type="expression" dxfId="1797" priority="2024" stopIfTrue="1">
      <formula>#REF!="DESAPROBADO"</formula>
    </cfRule>
    <cfRule type="duplicateValues" dxfId="1796" priority="2025" stopIfTrue="1"/>
    <cfRule type="duplicateValues" dxfId="1795" priority="2516"/>
    <cfRule type="duplicateValues" dxfId="1794" priority="2517"/>
    <cfRule type="duplicateValues" dxfId="1793" priority="2518"/>
    <cfRule type="duplicateValues" dxfId="1792" priority="2519"/>
    <cfRule type="duplicateValues" dxfId="1791" priority="2520"/>
    <cfRule type="duplicateValues" dxfId="1790" priority="2521"/>
    <cfRule type="expression" dxfId="1789" priority="2522" stopIfTrue="1">
      <formula>AND(COUNTIF($B$465:$B$65025, B268)+COUNTIF($B$1:$B$373, B268)&gt;1,NOT(ISBLANK(B268)))</formula>
    </cfRule>
    <cfRule type="duplicateValues" dxfId="1788" priority="2523"/>
    <cfRule type="duplicateValues" dxfId="1787" priority="2524"/>
    <cfRule type="duplicateValues" dxfId="1786" priority="2525"/>
    <cfRule type="duplicateValues" dxfId="1785" priority="2526" stopIfTrue="1"/>
    <cfRule type="duplicateValues" dxfId="1784" priority="2527" stopIfTrue="1"/>
    <cfRule type="duplicateValues" dxfId="1783" priority="2528" stopIfTrue="1"/>
    <cfRule type="duplicateValues" dxfId="1782" priority="2529" stopIfTrue="1"/>
    <cfRule type="duplicateValues" dxfId="1781" priority="2530" stopIfTrue="1"/>
    <cfRule type="duplicateValues" dxfId="1780" priority="2531" stopIfTrue="1"/>
    <cfRule type="duplicateValues" dxfId="1779" priority="2532"/>
    <cfRule type="duplicateValues" dxfId="1778" priority="2533"/>
    <cfRule type="duplicateValues" dxfId="1777" priority="2534"/>
    <cfRule type="duplicateValues" dxfId="1776" priority="2535"/>
    <cfRule type="duplicateValues" dxfId="1775" priority="2536"/>
    <cfRule type="duplicateValues" dxfId="1774" priority="2537"/>
    <cfRule type="duplicateValues" dxfId="1773" priority="2538"/>
    <cfRule type="duplicateValues" dxfId="1772" priority="2539" stopIfTrue="1"/>
    <cfRule type="duplicateValues" dxfId="1771" priority="2540" stopIfTrue="1"/>
    <cfRule type="duplicateValues" dxfId="1770" priority="2541" stopIfTrue="1"/>
    <cfRule type="duplicateValues" dxfId="1769" priority="2542" stopIfTrue="1"/>
    <cfRule type="duplicateValues" dxfId="1768" priority="2543" stopIfTrue="1"/>
    <cfRule type="duplicateValues" dxfId="1767" priority="2544"/>
    <cfRule type="duplicateValues" dxfId="1766" priority="2545"/>
    <cfRule type="duplicateValues" dxfId="1765" priority="2546"/>
    <cfRule type="duplicateValues" dxfId="1764" priority="2547"/>
    <cfRule type="duplicateValues" dxfId="1763" priority="2548"/>
    <cfRule type="duplicateValues" dxfId="1762" priority="2549"/>
    <cfRule type="duplicateValues" dxfId="1761" priority="2550"/>
    <cfRule type="duplicateValues" dxfId="1760" priority="2551" stopIfTrue="1"/>
    <cfRule type="expression" dxfId="1759" priority="2552" stopIfTrue="1">
      <formula>#REF!="ABANDONO"</formula>
    </cfRule>
    <cfRule type="expression" dxfId="1758" priority="2553" stopIfTrue="1">
      <formula>#REF!="FINALIZADO"</formula>
    </cfRule>
    <cfRule type="expression" dxfId="1757" priority="2554" stopIfTrue="1">
      <formula>#REF!="EN PROCESO"</formula>
    </cfRule>
    <cfRule type="expression" dxfId="1756" priority="2555" stopIfTrue="1">
      <formula>#REF!="DESAPROBADO"</formula>
    </cfRule>
    <cfRule type="duplicateValues" dxfId="1755" priority="2556" stopIfTrue="1"/>
    <cfRule type="duplicateValues" dxfId="1754" priority="2558"/>
    <cfRule type="duplicateValues" dxfId="1753" priority="2560"/>
    <cfRule type="duplicateValues" dxfId="1752" priority="2561"/>
    <cfRule type="duplicateValues" dxfId="1751" priority="2562"/>
    <cfRule type="duplicateValues" dxfId="1750" priority="2563"/>
    <cfRule type="duplicateValues" dxfId="1749" priority="2564"/>
    <cfRule type="expression" dxfId="1748" priority="2565" stopIfTrue="1">
      <formula>AND(COUNTIF($B$464:$B$65024, B268)+COUNTIF($B$1:$B$372, B268)&gt;1,NOT(ISBLANK(B268)))</formula>
    </cfRule>
    <cfRule type="duplicateValues" dxfId="1747" priority="2566"/>
    <cfRule type="duplicateValues" dxfId="1746" priority="2567"/>
    <cfRule type="duplicateValues" dxfId="1745" priority="2568"/>
    <cfRule type="duplicateValues" dxfId="1744" priority="2569" stopIfTrue="1"/>
    <cfRule type="duplicateValues" dxfId="1743" priority="2570" stopIfTrue="1"/>
    <cfRule type="duplicateValues" dxfId="1742" priority="2571" stopIfTrue="1"/>
    <cfRule type="duplicateValues" dxfId="1741" priority="2572" stopIfTrue="1"/>
    <cfRule type="duplicateValues" dxfId="1740" priority="2573" stopIfTrue="1"/>
    <cfRule type="duplicateValues" dxfId="1739" priority="2574" stopIfTrue="1"/>
    <cfRule type="duplicateValues" dxfId="1738" priority="2575"/>
    <cfRule type="duplicateValues" dxfId="1737" priority="2576"/>
    <cfRule type="duplicateValues" dxfId="1736" priority="2577"/>
    <cfRule type="duplicateValues" dxfId="1735" priority="2578"/>
    <cfRule type="duplicateValues" dxfId="1734" priority="2579"/>
    <cfRule type="duplicateValues" dxfId="1733" priority="2580"/>
    <cfRule type="duplicateValues" dxfId="1732" priority="2581"/>
    <cfRule type="duplicateValues" dxfId="1731" priority="2582" stopIfTrue="1"/>
    <cfRule type="duplicateValues" dxfId="1730" priority="2583" stopIfTrue="1"/>
    <cfRule type="duplicateValues" dxfId="1729" priority="2584" stopIfTrue="1"/>
    <cfRule type="duplicateValues" dxfId="1728" priority="2585" stopIfTrue="1"/>
    <cfRule type="duplicateValues" dxfId="1727" priority="2586" stopIfTrue="1"/>
    <cfRule type="duplicateValues" dxfId="1726" priority="2587"/>
    <cfRule type="duplicateValues" dxfId="1725" priority="2588"/>
    <cfRule type="duplicateValues" dxfId="1724" priority="2589"/>
    <cfRule type="duplicateValues" dxfId="1723" priority="2590"/>
    <cfRule type="duplicateValues" dxfId="1722" priority="2591"/>
    <cfRule type="duplicateValues" dxfId="1721" priority="2592"/>
    <cfRule type="duplicateValues" dxfId="1720" priority="2593"/>
    <cfRule type="duplicateValues" dxfId="1719" priority="2594" stopIfTrue="1"/>
    <cfRule type="expression" dxfId="1718" priority="2595" stopIfTrue="1">
      <formula>#REF!="ABANDONO"</formula>
    </cfRule>
    <cfRule type="expression" dxfId="1717" priority="2596" stopIfTrue="1">
      <formula>#REF!="FINALIZADO"</formula>
    </cfRule>
    <cfRule type="expression" dxfId="1716" priority="2597" stopIfTrue="1">
      <formula>#REF!="EN PROCESO"</formula>
    </cfRule>
    <cfRule type="expression" dxfId="1715" priority="2598" stopIfTrue="1">
      <formula>#REF!="DESAPROBADO"</formula>
    </cfRule>
    <cfRule type="duplicateValues" dxfId="1714" priority="2599" stopIfTrue="1"/>
    <cfRule type="duplicateValues" dxfId="1713" priority="1403"/>
    <cfRule type="duplicateValues" dxfId="1712" priority="1404"/>
    <cfRule type="duplicateValues" dxfId="1711" priority="1405"/>
    <cfRule type="duplicateValues" dxfId="1710" priority="1406"/>
    <cfRule type="duplicateValues" dxfId="1709" priority="1407"/>
    <cfRule type="duplicateValues" dxfId="1708" priority="1408"/>
    <cfRule type="expression" dxfId="1707" priority="1409" stopIfTrue="1">
      <formula>AND(COUNTIF($B$466:$B$65026, B268)+COUNTIF($B$1:$B$374, B268)&gt;1,NOT(ISBLANK(B268)))</formula>
    </cfRule>
    <cfRule type="duplicateValues" dxfId="1706" priority="1410"/>
    <cfRule type="duplicateValues" dxfId="1705" priority="1411"/>
    <cfRule type="duplicateValues" dxfId="1704" priority="1412"/>
    <cfRule type="duplicateValues" dxfId="1703" priority="1413" stopIfTrue="1"/>
  </conditionalFormatting>
  <conditionalFormatting sqref="B268:B269">
    <cfRule type="expression" dxfId="1702" priority="2557" stopIfTrue="1">
      <formula>AND(COUNTIF(#REF!, B268)+COUNTIF($B$1:$B$20, B268)&gt;1,NOT(ISBLANK(B268)))</formula>
    </cfRule>
  </conditionalFormatting>
  <conditionalFormatting sqref="B269">
    <cfRule type="duplicateValues" dxfId="1701" priority="2650"/>
    <cfRule type="expression" dxfId="1700" priority="2649" stopIfTrue="1">
      <formula>AND(COUNTIF($B$463:$B$65023, B269)+COUNTIF($B$1:$B$371, B269)&gt;1,NOT(ISBLANK(B269)))</formula>
    </cfRule>
    <cfRule type="duplicateValues" dxfId="1699" priority="2648"/>
    <cfRule type="duplicateValues" dxfId="1698" priority="2647"/>
    <cfRule type="duplicateValues" dxfId="1697" priority="2646"/>
    <cfRule type="duplicateValues" dxfId="1696" priority="2645"/>
    <cfRule type="duplicateValues" dxfId="1695" priority="2644"/>
    <cfRule type="duplicateValues" dxfId="1694" priority="2643"/>
    <cfRule type="duplicateValues" dxfId="1693" priority="2642"/>
    <cfRule type="duplicateValues" dxfId="1692" priority="2067" stopIfTrue="1"/>
    <cfRule type="duplicateValues" dxfId="1691" priority="2640" stopIfTrue="1"/>
    <cfRule type="expression" dxfId="1690" priority="2639" stopIfTrue="1">
      <formula>#REF!="DESAPROBADO"</formula>
    </cfRule>
    <cfRule type="expression" dxfId="1689" priority="2638" stopIfTrue="1">
      <formula>#REF!="EN PROCESO"</formula>
    </cfRule>
    <cfRule type="expression" dxfId="1688" priority="2637" stopIfTrue="1">
      <formula>#REF!="FINALIZADO"</formula>
    </cfRule>
    <cfRule type="expression" dxfId="1687" priority="2636" stopIfTrue="1">
      <formula>#REF!="ABANDONO"</formula>
    </cfRule>
    <cfRule type="duplicateValues" dxfId="1686" priority="2635" stopIfTrue="1"/>
    <cfRule type="duplicateValues" dxfId="1685" priority="2634"/>
    <cfRule type="duplicateValues" dxfId="1684" priority="2633"/>
    <cfRule type="duplicateValues" dxfId="1683" priority="2632"/>
    <cfRule type="duplicateValues" dxfId="1682" priority="2631"/>
    <cfRule type="duplicateValues" dxfId="1681" priority="2630"/>
    <cfRule type="duplicateValues" dxfId="1680" priority="2629"/>
    <cfRule type="duplicateValues" dxfId="1679" priority="2628"/>
    <cfRule type="duplicateValues" dxfId="1678" priority="2627" stopIfTrue="1"/>
    <cfRule type="duplicateValues" dxfId="1677" priority="2626" stopIfTrue="1"/>
    <cfRule type="duplicateValues" dxfId="1676" priority="2625" stopIfTrue="1"/>
    <cfRule type="duplicateValues" dxfId="1675" priority="2624" stopIfTrue="1"/>
    <cfRule type="duplicateValues" dxfId="1674" priority="2623" stopIfTrue="1"/>
    <cfRule type="duplicateValues" dxfId="1673" priority="2622"/>
    <cfRule type="duplicateValues" dxfId="1672" priority="2621"/>
    <cfRule type="duplicateValues" dxfId="1671" priority="2620"/>
    <cfRule type="duplicateValues" dxfId="1670" priority="2619"/>
    <cfRule type="duplicateValues" dxfId="1669" priority="2618"/>
    <cfRule type="duplicateValues" dxfId="1668" priority="2617"/>
    <cfRule type="duplicateValues" dxfId="1667" priority="2616"/>
    <cfRule type="duplicateValues" dxfId="1666" priority="2615" stopIfTrue="1"/>
    <cfRule type="duplicateValues" dxfId="1665" priority="2614" stopIfTrue="1"/>
    <cfRule type="duplicateValues" dxfId="1664" priority="2613" stopIfTrue="1"/>
    <cfRule type="duplicateValues" dxfId="1663" priority="2612" stopIfTrue="1"/>
    <cfRule type="duplicateValues" dxfId="1662" priority="2611" stopIfTrue="1"/>
    <cfRule type="duplicateValues" dxfId="1661" priority="2610" stopIfTrue="1"/>
    <cfRule type="duplicateValues" dxfId="1660" priority="2609"/>
    <cfRule type="duplicateValues" dxfId="1659" priority="2608"/>
    <cfRule type="duplicateValues" dxfId="1658" priority="2607"/>
    <cfRule type="expression" dxfId="1657" priority="2606" stopIfTrue="1">
      <formula>AND(COUNTIF($B$464:$B$65024, B269)+COUNTIF($B$1:$B$372, B269)&gt;1,NOT(ISBLANK(B269)))</formula>
    </cfRule>
    <cfRule type="duplicateValues" dxfId="1656" priority="2605"/>
    <cfRule type="duplicateValues" dxfId="1655" priority="2604"/>
    <cfRule type="expression" dxfId="1654" priority="2068" stopIfTrue="1">
      <formula>AND(COUNTIF(#REF!, B269)+COUNTIF($B$1:$B$20, B269)&gt;1,NOT(ISBLANK(B269)))</formula>
    </cfRule>
    <cfRule type="duplicateValues" dxfId="1653" priority="1360"/>
    <cfRule type="duplicateValues" dxfId="1652" priority="1361"/>
    <cfRule type="expression" dxfId="1651" priority="2681" stopIfTrue="1">
      <formula>#REF!="EN PROCESO"</formula>
    </cfRule>
    <cfRule type="duplicateValues" dxfId="1650" priority="2652"/>
    <cfRule type="duplicateValues" dxfId="1649" priority="2653" stopIfTrue="1"/>
    <cfRule type="duplicateValues" dxfId="1648" priority="2654" stopIfTrue="1"/>
    <cfRule type="duplicateValues" dxfId="1647" priority="2655" stopIfTrue="1"/>
    <cfRule type="duplicateValues" dxfId="1646" priority="2656" stopIfTrue="1"/>
    <cfRule type="duplicateValues" dxfId="1645" priority="2657" stopIfTrue="1"/>
    <cfRule type="duplicateValues" dxfId="1644" priority="2658" stopIfTrue="1"/>
    <cfRule type="duplicateValues" dxfId="1643" priority="2659"/>
    <cfRule type="duplicateValues" dxfId="1642" priority="2660"/>
    <cfRule type="duplicateValues" dxfId="1641" priority="2661"/>
    <cfRule type="duplicateValues" dxfId="1640" priority="2662"/>
    <cfRule type="duplicateValues" dxfId="1639" priority="1373" stopIfTrue="1"/>
    <cfRule type="duplicateValues" dxfId="1638" priority="2663"/>
    <cfRule type="duplicateValues" dxfId="1637" priority="2664"/>
    <cfRule type="duplicateValues" dxfId="1636" priority="2665"/>
    <cfRule type="duplicateValues" dxfId="1635" priority="2666" stopIfTrue="1"/>
    <cfRule type="duplicateValues" dxfId="1634" priority="2667" stopIfTrue="1"/>
    <cfRule type="duplicateValues" dxfId="1633" priority="2668" stopIfTrue="1"/>
    <cfRule type="duplicateValues" dxfId="1632" priority="2669" stopIfTrue="1"/>
    <cfRule type="duplicateValues" dxfId="1631" priority="2670" stopIfTrue="1"/>
    <cfRule type="duplicateValues" dxfId="1630" priority="2671"/>
    <cfRule type="duplicateValues" dxfId="1629" priority="2672"/>
    <cfRule type="duplicateValues" dxfId="1628" priority="2673"/>
    <cfRule type="duplicateValues" dxfId="1627" priority="2674"/>
    <cfRule type="duplicateValues" dxfId="1626" priority="2675"/>
    <cfRule type="duplicateValues" dxfId="1625" priority="2676"/>
    <cfRule type="duplicateValues" dxfId="1624" priority="2603"/>
    <cfRule type="duplicateValues" dxfId="1623" priority="2602"/>
    <cfRule type="duplicateValues" dxfId="1622" priority="2601"/>
    <cfRule type="duplicateValues" dxfId="1621" priority="2600"/>
    <cfRule type="duplicateValues" dxfId="1620" priority="2677"/>
    <cfRule type="duplicateValues" dxfId="1619" priority="2678" stopIfTrue="1"/>
    <cfRule type="expression" dxfId="1618" priority="2679" stopIfTrue="1">
      <formula>#REF!="ABANDONO"</formula>
    </cfRule>
    <cfRule type="expression" dxfId="1617" priority="2680" stopIfTrue="1">
      <formula>#REF!="FINALIZADO"</formula>
    </cfRule>
    <cfRule type="expression" dxfId="1616" priority="2682" stopIfTrue="1">
      <formula>#REF!="DESAPROBADO"</formula>
    </cfRule>
    <cfRule type="duplicateValues" dxfId="1615" priority="2683" stopIfTrue="1"/>
    <cfRule type="duplicateValues" dxfId="1614" priority="2651"/>
    <cfRule type="expression" dxfId="1613" priority="1401" stopIfTrue="1">
      <formula>AND(COUNTIF(#REF!, B269)+COUNTIF($B$1:$B$20, B269)&gt;1,NOT(ISBLANK(B269)))</formula>
    </cfRule>
    <cfRule type="duplicateValues" dxfId="1612" priority="1402"/>
    <cfRule type="duplicateValues" dxfId="1611" priority="1400" stopIfTrue="1"/>
    <cfRule type="expression" dxfId="1610" priority="1399" stopIfTrue="1">
      <formula>#REF!="DESAPROBADO"</formula>
    </cfRule>
    <cfRule type="expression" dxfId="1609" priority="1398" stopIfTrue="1">
      <formula>#REF!="EN PROCESO"</formula>
    </cfRule>
    <cfRule type="expression" dxfId="1608" priority="1397" stopIfTrue="1">
      <formula>#REF!="FINALIZADO"</formula>
    </cfRule>
    <cfRule type="expression" dxfId="1607" priority="1396" stopIfTrue="1">
      <formula>#REF!="ABANDONO"</formula>
    </cfRule>
    <cfRule type="duplicateValues" dxfId="1606" priority="1395" stopIfTrue="1"/>
    <cfRule type="duplicateValues" dxfId="1605" priority="1394"/>
    <cfRule type="duplicateValues" dxfId="1604" priority="1393"/>
    <cfRule type="duplicateValues" dxfId="1603" priority="1392"/>
    <cfRule type="duplicateValues" dxfId="1602" priority="1391"/>
    <cfRule type="duplicateValues" dxfId="1601" priority="1390"/>
    <cfRule type="duplicateValues" dxfId="1600" priority="1389"/>
    <cfRule type="duplicateValues" dxfId="1599" priority="1388"/>
    <cfRule type="duplicateValues" dxfId="1598" priority="1387" stopIfTrue="1"/>
    <cfRule type="duplicateValues" dxfId="1597" priority="1386" stopIfTrue="1"/>
    <cfRule type="duplicateValues" dxfId="1596" priority="1385" stopIfTrue="1"/>
    <cfRule type="duplicateValues" dxfId="1595" priority="1384" stopIfTrue="1"/>
    <cfRule type="duplicateValues" dxfId="1594" priority="2031"/>
    <cfRule type="duplicateValues" dxfId="1593" priority="2032"/>
    <cfRule type="expression" dxfId="1592" priority="2033" stopIfTrue="1">
      <formula>AND(COUNTIF($B$464:$B$65024, B269)+COUNTIF($B$1:$B$372, B269)&gt;1,NOT(ISBLANK(B269)))</formula>
    </cfRule>
    <cfRule type="duplicateValues" dxfId="1591" priority="2034"/>
    <cfRule type="duplicateValues" dxfId="1590" priority="2035"/>
    <cfRule type="duplicateValues" dxfId="1589" priority="2036"/>
    <cfRule type="duplicateValues" dxfId="1588" priority="2037" stopIfTrue="1"/>
    <cfRule type="duplicateValues" dxfId="1587" priority="2038" stopIfTrue="1"/>
    <cfRule type="duplicateValues" dxfId="1586" priority="1383" stopIfTrue="1"/>
    <cfRule type="duplicateValues" dxfId="1585" priority="1382"/>
    <cfRule type="duplicateValues" dxfId="1584" priority="1381"/>
    <cfRule type="duplicateValues" dxfId="1583" priority="1380"/>
    <cfRule type="duplicateValues" dxfId="1582" priority="1379"/>
    <cfRule type="duplicateValues" dxfId="1581" priority="1378"/>
    <cfRule type="duplicateValues" dxfId="1580" priority="1377"/>
    <cfRule type="duplicateValues" dxfId="1579" priority="1376"/>
    <cfRule type="duplicateValues" dxfId="1578" priority="1375" stopIfTrue="1"/>
    <cfRule type="duplicateValues" dxfId="1577" priority="1374" stopIfTrue="1"/>
    <cfRule type="duplicateValues" dxfId="1576" priority="2039" stopIfTrue="1"/>
    <cfRule type="duplicateValues" dxfId="1575" priority="1372" stopIfTrue="1"/>
    <cfRule type="duplicateValues" dxfId="1574" priority="1371" stopIfTrue="1"/>
    <cfRule type="duplicateValues" dxfId="1573" priority="1370" stopIfTrue="1"/>
    <cfRule type="duplicateValues" dxfId="1572" priority="2029"/>
    <cfRule type="duplicateValues" dxfId="1571" priority="1369"/>
    <cfRule type="duplicateValues" dxfId="1570" priority="1368"/>
    <cfRule type="duplicateValues" dxfId="1569" priority="1367"/>
    <cfRule type="expression" dxfId="1568" priority="1366" stopIfTrue="1">
      <formula>AND(COUNTIF($B$465:$B$65025, B269)+COUNTIF($B$1:$B$373, B269)&gt;1,NOT(ISBLANK(B269)))</formula>
    </cfRule>
    <cfRule type="duplicateValues" dxfId="1567" priority="1365"/>
    <cfRule type="duplicateValues" dxfId="1566" priority="1364"/>
    <cfRule type="duplicateValues" dxfId="1565" priority="1363"/>
    <cfRule type="duplicateValues" dxfId="1564" priority="1362"/>
    <cfRule type="duplicateValues" dxfId="1563" priority="2030"/>
    <cfRule type="duplicateValues" dxfId="1562" priority="2027"/>
    <cfRule type="duplicateValues" dxfId="1561" priority="2028"/>
    <cfRule type="duplicateValues" dxfId="1560" priority="2040" stopIfTrue="1"/>
    <cfRule type="duplicateValues" dxfId="1559" priority="2041" stopIfTrue="1"/>
    <cfRule type="duplicateValues" dxfId="1558" priority="2042" stopIfTrue="1"/>
    <cfRule type="duplicateValues" dxfId="1557" priority="2043"/>
    <cfRule type="duplicateValues" dxfId="1556" priority="2044"/>
    <cfRule type="duplicateValues" dxfId="1555" priority="2045"/>
    <cfRule type="duplicateValues" dxfId="1554" priority="2046"/>
    <cfRule type="duplicateValues" dxfId="1553" priority="2047"/>
    <cfRule type="duplicateValues" dxfId="1552" priority="2048"/>
    <cfRule type="duplicateValues" dxfId="1551" priority="2049"/>
    <cfRule type="duplicateValues" dxfId="1550" priority="2050" stopIfTrue="1"/>
    <cfRule type="duplicateValues" dxfId="1549" priority="2051" stopIfTrue="1"/>
    <cfRule type="duplicateValues" dxfId="1548" priority="2052" stopIfTrue="1"/>
    <cfRule type="duplicateValues" dxfId="1547" priority="2053" stopIfTrue="1"/>
    <cfRule type="duplicateValues" dxfId="1546" priority="2054" stopIfTrue="1"/>
    <cfRule type="duplicateValues" dxfId="1545" priority="2055"/>
    <cfRule type="duplicateValues" dxfId="1544" priority="2056"/>
    <cfRule type="duplicateValues" dxfId="1543" priority="2057"/>
    <cfRule type="duplicateValues" dxfId="1542" priority="2058"/>
    <cfRule type="duplicateValues" dxfId="1541" priority="2059"/>
    <cfRule type="duplicateValues" dxfId="1540" priority="2060"/>
    <cfRule type="duplicateValues" dxfId="1539" priority="2061"/>
    <cfRule type="duplicateValues" dxfId="1538" priority="2062" stopIfTrue="1"/>
    <cfRule type="expression" dxfId="1537" priority="2063" stopIfTrue="1">
      <formula>#REF!="ABANDONO"</formula>
    </cfRule>
    <cfRule type="expression" dxfId="1536" priority="2064" stopIfTrue="1">
      <formula>#REF!="FINALIZADO"</formula>
    </cfRule>
    <cfRule type="expression" dxfId="1535" priority="2065" stopIfTrue="1">
      <formula>#REF!="EN PROCESO"</formula>
    </cfRule>
    <cfRule type="expression" dxfId="1534" priority="2066" stopIfTrue="1">
      <formula>#REF!="DESAPROBADO"</formula>
    </cfRule>
  </conditionalFormatting>
  <conditionalFormatting sqref="B269:B270">
    <cfRule type="expression" dxfId="1533" priority="2641" stopIfTrue="1">
      <formula>AND(COUNTIF(#REF!, B269)+COUNTIF($B$1:$B$20, B269)&gt;1,NOT(ISBLANK(B269)))</formula>
    </cfRule>
  </conditionalFormatting>
  <conditionalFormatting sqref="B270">
    <cfRule type="duplicateValues" dxfId="1532" priority="2688"/>
    <cfRule type="duplicateValues" dxfId="1531" priority="2687"/>
    <cfRule type="duplicateValues" dxfId="1530" priority="2686"/>
    <cfRule type="duplicateValues" dxfId="1529" priority="2685"/>
    <cfRule type="duplicateValues" dxfId="1528" priority="2684"/>
    <cfRule type="duplicateValues" dxfId="1527" priority="1317"/>
    <cfRule type="duplicateValues" dxfId="1526" priority="1318"/>
    <cfRule type="duplicateValues" dxfId="1525" priority="1319"/>
    <cfRule type="duplicateValues" dxfId="1524" priority="1320"/>
    <cfRule type="duplicateValues" dxfId="1523" priority="1321"/>
    <cfRule type="duplicateValues" dxfId="1522" priority="1322"/>
    <cfRule type="expression" dxfId="1521" priority="1323" stopIfTrue="1">
      <formula>AND(COUNTIF($B$464:$B$65024, B270)+COUNTIF($B$1:$B$372, B270)&gt;1,NOT(ISBLANK(B270)))</formula>
    </cfRule>
    <cfRule type="duplicateValues" dxfId="1520" priority="1324"/>
    <cfRule type="duplicateValues" dxfId="1519" priority="1325"/>
    <cfRule type="duplicateValues" dxfId="1518" priority="1326"/>
    <cfRule type="duplicateValues" dxfId="1517" priority="1327" stopIfTrue="1"/>
    <cfRule type="duplicateValues" dxfId="1516" priority="1328" stopIfTrue="1"/>
    <cfRule type="duplicateValues" dxfId="1515" priority="1329" stopIfTrue="1"/>
    <cfRule type="duplicateValues" dxfId="1514" priority="1330" stopIfTrue="1"/>
    <cfRule type="duplicateValues" dxfId="1513" priority="1331" stopIfTrue="1"/>
    <cfRule type="duplicateValues" dxfId="1512" priority="1332" stopIfTrue="1"/>
    <cfRule type="duplicateValues" dxfId="1511" priority="1333"/>
    <cfRule type="duplicateValues" dxfId="1510" priority="1334"/>
    <cfRule type="duplicateValues" dxfId="1509" priority="1335"/>
    <cfRule type="duplicateValues" dxfId="1508" priority="1336"/>
    <cfRule type="duplicateValues" dxfId="1507" priority="1337"/>
    <cfRule type="duplicateValues" dxfId="1506" priority="1338"/>
    <cfRule type="duplicateValues" dxfId="1505" priority="1339"/>
    <cfRule type="duplicateValues" dxfId="1504" priority="1340" stopIfTrue="1"/>
    <cfRule type="duplicateValues" dxfId="1503" priority="1341" stopIfTrue="1"/>
    <cfRule type="duplicateValues" dxfId="1502" priority="1342" stopIfTrue="1"/>
    <cfRule type="duplicateValues" dxfId="1501" priority="1343" stopIfTrue="1"/>
    <cfRule type="duplicateValues" dxfId="1500" priority="1344" stopIfTrue="1"/>
    <cfRule type="duplicateValues" dxfId="1499" priority="1345"/>
    <cfRule type="duplicateValues" dxfId="1498" priority="1346"/>
    <cfRule type="duplicateValues" dxfId="1497" priority="1347"/>
    <cfRule type="duplicateValues" dxfId="1496" priority="1348"/>
    <cfRule type="duplicateValues" dxfId="1495" priority="1349"/>
    <cfRule type="duplicateValues" dxfId="1494" priority="1350"/>
    <cfRule type="duplicateValues" dxfId="1493" priority="1351"/>
    <cfRule type="duplicateValues" dxfId="1492" priority="1352" stopIfTrue="1"/>
    <cfRule type="expression" dxfId="1491" priority="1353" stopIfTrue="1">
      <formula>#REF!="ABANDONO"</formula>
    </cfRule>
    <cfRule type="expression" dxfId="1490" priority="1354" stopIfTrue="1">
      <formula>#REF!="FINALIZADO"</formula>
    </cfRule>
    <cfRule type="expression" dxfId="1489" priority="1355" stopIfTrue="1">
      <formula>#REF!="EN PROCESO"</formula>
    </cfRule>
    <cfRule type="expression" dxfId="1488" priority="1356" stopIfTrue="1">
      <formula>#REF!="DESAPROBADO"</formula>
    </cfRule>
    <cfRule type="duplicateValues" dxfId="1487" priority="1357" stopIfTrue="1"/>
    <cfRule type="expression" dxfId="1486" priority="1358" stopIfTrue="1">
      <formula>AND(COUNTIF(#REF!, B270)+COUNTIF($B$1:$B$20, B270)&gt;1,NOT(ISBLANK(B270)))</formula>
    </cfRule>
    <cfRule type="duplicateValues" dxfId="1485" priority="1359"/>
    <cfRule type="expression" dxfId="1484" priority="2110" stopIfTrue="1">
      <formula>AND(COUNTIF(#REF!, B270)+COUNTIF($B$1:$B$20, B270)&gt;1,NOT(ISBLANK(B270)))</formula>
    </cfRule>
    <cfRule type="duplicateValues" dxfId="1483" priority="2109" stopIfTrue="1"/>
    <cfRule type="expression" dxfId="1482" priority="2108" stopIfTrue="1">
      <formula>#REF!="DESAPROBADO"</formula>
    </cfRule>
    <cfRule type="expression" dxfId="1481" priority="2107" stopIfTrue="1">
      <formula>#REF!="EN PROCESO"</formula>
    </cfRule>
    <cfRule type="expression" dxfId="1480" priority="2106" stopIfTrue="1">
      <formula>#REF!="FINALIZADO"</formula>
    </cfRule>
    <cfRule type="expression" dxfId="1479" priority="2105" stopIfTrue="1">
      <formula>#REF!="ABANDONO"</formula>
    </cfRule>
    <cfRule type="duplicateValues" dxfId="1478" priority="2104" stopIfTrue="1"/>
    <cfRule type="duplicateValues" dxfId="1477" priority="2103"/>
    <cfRule type="duplicateValues" dxfId="1476" priority="2102"/>
    <cfRule type="duplicateValues" dxfId="1475" priority="2101"/>
    <cfRule type="duplicateValues" dxfId="1474" priority="2100"/>
    <cfRule type="duplicateValues" dxfId="1473" priority="2099"/>
    <cfRule type="duplicateValues" dxfId="1472" priority="2098"/>
    <cfRule type="duplicateValues" dxfId="1471" priority="2097"/>
    <cfRule type="duplicateValues" dxfId="1470" priority="2096" stopIfTrue="1"/>
    <cfRule type="duplicateValues" dxfId="1469" priority="2095" stopIfTrue="1"/>
    <cfRule type="duplicateValues" dxfId="1468" priority="2094" stopIfTrue="1"/>
    <cfRule type="duplicateValues" dxfId="1467" priority="2093" stopIfTrue="1"/>
    <cfRule type="duplicateValues" dxfId="1466" priority="2092" stopIfTrue="1"/>
    <cfRule type="duplicateValues" dxfId="1465" priority="2091"/>
    <cfRule type="duplicateValues" dxfId="1464" priority="2090"/>
    <cfRule type="duplicateValues" dxfId="1463" priority="2089"/>
    <cfRule type="duplicateValues" dxfId="1462" priority="2088"/>
    <cfRule type="duplicateValues" dxfId="1461" priority="2087"/>
    <cfRule type="duplicateValues" dxfId="1460" priority="2086"/>
    <cfRule type="duplicateValues" dxfId="1459" priority="2085"/>
    <cfRule type="duplicateValues" dxfId="1458" priority="2084" stopIfTrue="1"/>
    <cfRule type="duplicateValues" dxfId="1457" priority="2083" stopIfTrue="1"/>
    <cfRule type="duplicateValues" dxfId="1456" priority="2082" stopIfTrue="1"/>
    <cfRule type="duplicateValues" dxfId="1455" priority="2081" stopIfTrue="1"/>
    <cfRule type="duplicateValues" dxfId="1454" priority="2080" stopIfTrue="1"/>
    <cfRule type="duplicateValues" dxfId="1453" priority="2079" stopIfTrue="1"/>
    <cfRule type="duplicateValues" dxfId="1452" priority="2078"/>
    <cfRule type="duplicateValues" dxfId="1451" priority="2077"/>
    <cfRule type="duplicateValues" dxfId="1450" priority="2076"/>
    <cfRule type="expression" dxfId="1449" priority="2075" stopIfTrue="1">
      <formula>AND(COUNTIF($B$463:$B$65023, B270)+COUNTIF($B$1:$B$371, B270)&gt;1,NOT(ISBLANK(B270)))</formula>
    </cfRule>
    <cfRule type="duplicateValues" dxfId="1448" priority="2074"/>
    <cfRule type="duplicateValues" dxfId="1447" priority="2073"/>
    <cfRule type="duplicateValues" dxfId="1446" priority="2072"/>
    <cfRule type="duplicateValues" dxfId="1445" priority="2071"/>
    <cfRule type="duplicateValues" dxfId="1444" priority="2070"/>
    <cfRule type="duplicateValues" dxfId="1443" priority="2069"/>
    <cfRule type="duplicateValues" dxfId="1442" priority="2767" stopIfTrue="1"/>
    <cfRule type="expression" dxfId="1441" priority="2766" stopIfTrue="1">
      <formula>#REF!="DESAPROBADO"</formula>
    </cfRule>
    <cfRule type="expression" dxfId="1440" priority="2765" stopIfTrue="1">
      <formula>#REF!="EN PROCESO"</formula>
    </cfRule>
    <cfRule type="expression" dxfId="1439" priority="2764" stopIfTrue="1">
      <formula>#REF!="FINALIZADO"</formula>
    </cfRule>
    <cfRule type="expression" dxfId="1438" priority="2763" stopIfTrue="1">
      <formula>#REF!="ABANDONO"</formula>
    </cfRule>
    <cfRule type="duplicateValues" dxfId="1437" priority="2762" stopIfTrue="1"/>
    <cfRule type="duplicateValues" dxfId="1436" priority="2761"/>
    <cfRule type="duplicateValues" dxfId="1435" priority="2760"/>
    <cfRule type="duplicateValues" dxfId="1434" priority="2759"/>
    <cfRule type="duplicateValues" dxfId="1433" priority="2758"/>
    <cfRule type="duplicateValues" dxfId="1432" priority="2757"/>
    <cfRule type="duplicateValues" dxfId="1431" priority="2756"/>
    <cfRule type="duplicateValues" dxfId="1430" priority="2755"/>
    <cfRule type="duplicateValues" dxfId="1429" priority="2754" stopIfTrue="1"/>
    <cfRule type="duplicateValues" dxfId="1428" priority="2753" stopIfTrue="1"/>
    <cfRule type="duplicateValues" dxfId="1427" priority="2752" stopIfTrue="1"/>
    <cfRule type="duplicateValues" dxfId="1426" priority="2751" stopIfTrue="1"/>
    <cfRule type="duplicateValues" dxfId="1425" priority="2750" stopIfTrue="1"/>
    <cfRule type="duplicateValues" dxfId="1424" priority="2749"/>
    <cfRule type="duplicateValues" dxfId="1423" priority="2748"/>
    <cfRule type="duplicateValues" dxfId="1422" priority="2747"/>
    <cfRule type="duplicateValues" dxfId="1421" priority="2746"/>
    <cfRule type="duplicateValues" dxfId="1420" priority="2745"/>
    <cfRule type="duplicateValues" dxfId="1419" priority="2744"/>
    <cfRule type="duplicateValues" dxfId="1418" priority="2743"/>
    <cfRule type="duplicateValues" dxfId="1417" priority="2742" stopIfTrue="1"/>
    <cfRule type="duplicateValues" dxfId="1416" priority="2741" stopIfTrue="1"/>
    <cfRule type="duplicateValues" dxfId="1415" priority="2740" stopIfTrue="1"/>
    <cfRule type="duplicateValues" dxfId="1414" priority="2739" stopIfTrue="1"/>
    <cfRule type="duplicateValues" dxfId="1413" priority="2738" stopIfTrue="1"/>
    <cfRule type="duplicateValues" dxfId="1412" priority="2737" stopIfTrue="1"/>
    <cfRule type="duplicateValues" dxfId="1411" priority="2736"/>
    <cfRule type="duplicateValues" dxfId="1410" priority="2735"/>
    <cfRule type="duplicateValues" dxfId="1409" priority="2734"/>
    <cfRule type="expression" dxfId="1408" priority="2733" stopIfTrue="1">
      <formula>AND(COUNTIF($B$462:$B$65022, B270)+COUNTIF($B$1:$B$370, B270)&gt;1,NOT(ISBLANK(B270)))</formula>
    </cfRule>
    <cfRule type="duplicateValues" dxfId="1407" priority="2732"/>
    <cfRule type="duplicateValues" dxfId="1406" priority="2731"/>
    <cfRule type="duplicateValues" dxfId="1405" priority="2730"/>
    <cfRule type="duplicateValues" dxfId="1404" priority="2729"/>
    <cfRule type="duplicateValues" dxfId="1403" priority="2728"/>
    <cfRule type="duplicateValues" dxfId="1402" priority="2727"/>
    <cfRule type="duplicateValues" dxfId="1401" priority="2726"/>
    <cfRule type="expression" dxfId="1400" priority="2725" stopIfTrue="1">
      <formula>AND(COUNTIF(#REF!, B270)+COUNTIF($B$1:$B$20, B270)&gt;1,NOT(ISBLANK(B270)))</formula>
    </cfRule>
    <cfRule type="duplicateValues" dxfId="1399" priority="2724" stopIfTrue="1"/>
    <cfRule type="expression" dxfId="1398" priority="2723" stopIfTrue="1">
      <formula>#REF!="DESAPROBADO"</formula>
    </cfRule>
    <cfRule type="expression" dxfId="1397" priority="2722" stopIfTrue="1">
      <formula>#REF!="EN PROCESO"</formula>
    </cfRule>
    <cfRule type="expression" dxfId="1396" priority="2721" stopIfTrue="1">
      <formula>#REF!="FINALIZADO"</formula>
    </cfRule>
    <cfRule type="expression" dxfId="1395" priority="2720" stopIfTrue="1">
      <formula>#REF!="ABANDONO"</formula>
    </cfRule>
    <cfRule type="duplicateValues" dxfId="1394" priority="2719" stopIfTrue="1"/>
    <cfRule type="duplicateValues" dxfId="1393" priority="2718"/>
    <cfRule type="duplicateValues" dxfId="1392" priority="2717"/>
    <cfRule type="duplicateValues" dxfId="1391" priority="2716"/>
    <cfRule type="duplicateValues" dxfId="1390" priority="2715"/>
    <cfRule type="duplicateValues" dxfId="1389" priority="2714"/>
    <cfRule type="duplicateValues" dxfId="1388" priority="2713"/>
    <cfRule type="duplicateValues" dxfId="1387" priority="2712"/>
    <cfRule type="duplicateValues" dxfId="1386" priority="2711" stopIfTrue="1"/>
    <cfRule type="duplicateValues" dxfId="1385" priority="2710" stopIfTrue="1"/>
    <cfRule type="duplicateValues" dxfId="1384" priority="2709" stopIfTrue="1"/>
    <cfRule type="duplicateValues" dxfId="1383" priority="2708" stopIfTrue="1"/>
    <cfRule type="duplicateValues" dxfId="1382" priority="2707" stopIfTrue="1"/>
    <cfRule type="duplicateValues" dxfId="1381" priority="2706"/>
    <cfRule type="duplicateValues" dxfId="1380" priority="2705"/>
    <cfRule type="duplicateValues" dxfId="1379" priority="2704"/>
    <cfRule type="duplicateValues" dxfId="1378" priority="2703"/>
    <cfRule type="duplicateValues" dxfId="1377" priority="2702"/>
    <cfRule type="duplicateValues" dxfId="1376" priority="2701"/>
    <cfRule type="duplicateValues" dxfId="1375" priority="2700"/>
    <cfRule type="duplicateValues" dxfId="1374" priority="2699" stopIfTrue="1"/>
    <cfRule type="duplicateValues" dxfId="1373" priority="2698" stopIfTrue="1"/>
    <cfRule type="duplicateValues" dxfId="1372" priority="2697" stopIfTrue="1"/>
    <cfRule type="duplicateValues" dxfId="1371" priority="2696" stopIfTrue="1"/>
    <cfRule type="duplicateValues" dxfId="1370" priority="2695" stopIfTrue="1"/>
    <cfRule type="duplicateValues" dxfId="1369" priority="2694" stopIfTrue="1"/>
    <cfRule type="duplicateValues" dxfId="1368" priority="2693"/>
    <cfRule type="duplicateValues" dxfId="1367" priority="2692"/>
    <cfRule type="duplicateValues" dxfId="1366" priority="2691"/>
    <cfRule type="expression" dxfId="1365" priority="2690" stopIfTrue="1">
      <formula>AND(COUNTIF($B$463:$B$65023, B270)+COUNTIF($B$1:$B$371, B270)&gt;1,NOT(ISBLANK(B270)))</formula>
    </cfRule>
    <cfRule type="duplicateValues" dxfId="1364" priority="2689"/>
  </conditionalFormatting>
  <conditionalFormatting sqref="B271">
    <cfRule type="duplicateValues" dxfId="1363" priority="2791" stopIfTrue="1"/>
    <cfRule type="duplicateValues" dxfId="1362" priority="2769"/>
    <cfRule type="expression" dxfId="1361" priority="2809" stopIfTrue="1">
      <formula>AND(COUNTIF(#REF!, B271)+COUNTIF($B$1:$B$20, B271)&gt;1,NOT(ISBLANK(B271)))</formula>
    </cfRule>
    <cfRule type="duplicateValues" dxfId="1360" priority="2808" stopIfTrue="1"/>
    <cfRule type="duplicateValues" dxfId="1359" priority="1279"/>
    <cfRule type="expression" dxfId="1358" priority="2807" stopIfTrue="1">
      <formula>#REF!="DESAPROBADO"</formula>
    </cfRule>
    <cfRule type="expression" dxfId="1357" priority="2806" stopIfTrue="1">
      <formula>#REF!="EN PROCESO"</formula>
    </cfRule>
    <cfRule type="expression" dxfId="1356" priority="2805" stopIfTrue="1">
      <formula>#REF!="FINALIZADO"</formula>
    </cfRule>
    <cfRule type="expression" dxfId="1355" priority="2804" stopIfTrue="1">
      <formula>#REF!="ABANDONO"</formula>
    </cfRule>
    <cfRule type="duplicateValues" dxfId="1354" priority="2803" stopIfTrue="1"/>
    <cfRule type="duplicateValues" dxfId="1353" priority="2802"/>
    <cfRule type="duplicateValues" dxfId="1352" priority="2801"/>
    <cfRule type="duplicateValues" dxfId="1351" priority="2800"/>
    <cfRule type="duplicateValues" dxfId="1350" priority="2799"/>
    <cfRule type="duplicateValues" dxfId="1349" priority="2798"/>
    <cfRule type="duplicateValues" dxfId="1348" priority="2797"/>
    <cfRule type="duplicateValues" dxfId="1347" priority="2796"/>
    <cfRule type="duplicateValues" dxfId="1346" priority="2795" stopIfTrue="1"/>
    <cfRule type="duplicateValues" dxfId="1345" priority="2794" stopIfTrue="1"/>
    <cfRule type="duplicateValues" dxfId="1344" priority="2793" stopIfTrue="1"/>
    <cfRule type="duplicateValues" dxfId="1343" priority="2792" stopIfTrue="1"/>
    <cfRule type="duplicateValues" dxfId="1342" priority="2770"/>
    <cfRule type="duplicateValues" dxfId="1341" priority="2790"/>
    <cfRule type="duplicateValues" dxfId="1340" priority="2789"/>
    <cfRule type="duplicateValues" dxfId="1339" priority="2788"/>
    <cfRule type="duplicateValues" dxfId="1338" priority="2787"/>
    <cfRule type="duplicateValues" dxfId="1337" priority="2786"/>
    <cfRule type="duplicateValues" dxfId="1336" priority="2785"/>
    <cfRule type="duplicateValues" dxfId="1335" priority="2784"/>
    <cfRule type="duplicateValues" dxfId="1334" priority="2783" stopIfTrue="1"/>
    <cfRule type="duplicateValues" dxfId="1333" priority="2782" stopIfTrue="1"/>
    <cfRule type="duplicateValues" dxfId="1332" priority="2781" stopIfTrue="1"/>
    <cfRule type="duplicateValues" dxfId="1331" priority="2780" stopIfTrue="1"/>
    <cfRule type="duplicateValues" dxfId="1330" priority="2779" stopIfTrue="1"/>
    <cfRule type="duplicateValues" dxfId="1329" priority="2778" stopIfTrue="1"/>
    <cfRule type="duplicateValues" dxfId="1328" priority="2777"/>
    <cfRule type="duplicateValues" dxfId="1327" priority="2776"/>
    <cfRule type="duplicateValues" dxfId="1326" priority="2775"/>
    <cfRule type="expression" dxfId="1325" priority="2774" stopIfTrue="1">
      <formula>AND(COUNTIF($B$460:$B$65020, B271)+COUNTIF($B$1:$B$368, B271)&gt;1,NOT(ISBLANK(B271)))</formula>
    </cfRule>
    <cfRule type="duplicateValues" dxfId="1324" priority="2773"/>
    <cfRule type="duplicateValues" dxfId="1323" priority="2772"/>
    <cfRule type="duplicateValues" dxfId="1322" priority="2771"/>
    <cfRule type="duplicateValues" dxfId="1321" priority="1278"/>
    <cfRule type="duplicateValues" dxfId="1320" priority="1277"/>
    <cfRule type="duplicateValues" dxfId="1319" priority="2768"/>
    <cfRule type="duplicateValues" dxfId="1318" priority="1316"/>
    <cfRule type="expression" dxfId="1317" priority="1315" stopIfTrue="1">
      <formula>AND(COUNTIF(#REF!, B271)+COUNTIF($B$1:$B$20, B271)&gt;1,NOT(ISBLANK(B271)))</formula>
    </cfRule>
    <cfRule type="duplicateValues" dxfId="1316" priority="1314" stopIfTrue="1"/>
    <cfRule type="expression" dxfId="1315" priority="1313" stopIfTrue="1">
      <formula>#REF!="DESAPROBADO"</formula>
    </cfRule>
    <cfRule type="expression" dxfId="1314" priority="1312" stopIfTrue="1">
      <formula>#REF!="EN PROCESO"</formula>
    </cfRule>
    <cfRule type="expression" dxfId="1313" priority="1311" stopIfTrue="1">
      <formula>#REF!="FINALIZADO"</formula>
    </cfRule>
    <cfRule type="expression" dxfId="1312" priority="1310" stopIfTrue="1">
      <formula>#REF!="ABANDONO"</formula>
    </cfRule>
    <cfRule type="duplicateValues" dxfId="1311" priority="1309" stopIfTrue="1"/>
    <cfRule type="duplicateValues" dxfId="1310" priority="1308"/>
    <cfRule type="duplicateValues" dxfId="1309" priority="1307"/>
    <cfRule type="duplicateValues" dxfId="1308" priority="1306"/>
    <cfRule type="duplicateValues" dxfId="1307" priority="1305"/>
    <cfRule type="duplicateValues" dxfId="1306" priority="1304"/>
    <cfRule type="duplicateValues" dxfId="1305" priority="1303"/>
    <cfRule type="duplicateValues" dxfId="1304" priority="1302"/>
    <cfRule type="duplicateValues" dxfId="1303" priority="1301" stopIfTrue="1"/>
    <cfRule type="duplicateValues" dxfId="1302" priority="1300" stopIfTrue="1"/>
    <cfRule type="duplicateValues" dxfId="1301" priority="1299" stopIfTrue="1"/>
    <cfRule type="duplicateValues" dxfId="1300" priority="1298" stopIfTrue="1"/>
    <cfRule type="duplicateValues" dxfId="1299" priority="1297" stopIfTrue="1"/>
    <cfRule type="duplicateValues" dxfId="1298" priority="1296"/>
    <cfRule type="duplicateValues" dxfId="1297" priority="1295"/>
    <cfRule type="duplicateValues" dxfId="1296" priority="1294"/>
    <cfRule type="duplicateValues" dxfId="1295" priority="1293"/>
    <cfRule type="duplicateValues" dxfId="1294" priority="1292"/>
    <cfRule type="duplicateValues" dxfId="1293" priority="1291"/>
    <cfRule type="duplicateValues" dxfId="1292" priority="1290"/>
    <cfRule type="duplicateValues" dxfId="1291" priority="1289" stopIfTrue="1"/>
    <cfRule type="duplicateValues" dxfId="1290" priority="1288" stopIfTrue="1"/>
    <cfRule type="duplicateValues" dxfId="1289" priority="1276"/>
    <cfRule type="duplicateValues" dxfId="1288" priority="1287" stopIfTrue="1"/>
    <cfRule type="duplicateValues" dxfId="1287" priority="1286" stopIfTrue="1"/>
    <cfRule type="duplicateValues" dxfId="1286" priority="1285" stopIfTrue="1"/>
    <cfRule type="duplicateValues" dxfId="1285" priority="1284" stopIfTrue="1"/>
    <cfRule type="duplicateValues" dxfId="1284" priority="1283"/>
    <cfRule type="duplicateValues" dxfId="1283" priority="1282"/>
    <cfRule type="duplicateValues" dxfId="1282" priority="1281"/>
    <cfRule type="expression" dxfId="1281" priority="1280" stopIfTrue="1">
      <formula>AND(COUNTIF($B$461:$B$65021, B271)+COUNTIF($B$1:$B$369, B271)&gt;1,NOT(ISBLANK(B271)))</formula>
    </cfRule>
    <cfRule type="duplicateValues" dxfId="1280" priority="1275"/>
    <cfRule type="duplicateValues" dxfId="1279" priority="1274"/>
  </conditionalFormatting>
  <conditionalFormatting sqref="B272">
    <cfRule type="expression" dxfId="1278" priority="1269" stopIfTrue="1">
      <formula>#REF!="EN PROCESO"</formula>
    </cfRule>
    <cfRule type="expression" dxfId="1277" priority="1268" stopIfTrue="1">
      <formula>#REF!="FINALIZADO"</formula>
    </cfRule>
    <cfRule type="expression" dxfId="1276" priority="1267" stopIfTrue="1">
      <formula>#REF!="ABANDONO"</formula>
    </cfRule>
    <cfRule type="duplicateValues" dxfId="1275" priority="1266" stopIfTrue="1"/>
    <cfRule type="expression" dxfId="1274" priority="1270" stopIfTrue="1">
      <formula>#REF!="DESAPROBADO"</formula>
    </cfRule>
    <cfRule type="duplicateValues" dxfId="1273" priority="1233"/>
    <cfRule type="duplicateValues" dxfId="1272" priority="1254" stopIfTrue="1"/>
    <cfRule type="duplicateValues" dxfId="1271" priority="1231"/>
    <cfRule type="duplicateValues" dxfId="1270" priority="1232"/>
    <cfRule type="duplicateValues" dxfId="1269" priority="2842"/>
    <cfRule type="duplicateValues" dxfId="1268" priority="2841"/>
    <cfRule type="duplicateValues" dxfId="1267" priority="2840"/>
    <cfRule type="duplicateValues" dxfId="1266" priority="2839"/>
    <cfRule type="duplicateValues" dxfId="1265" priority="2838"/>
    <cfRule type="duplicateValues" dxfId="1264" priority="2837" stopIfTrue="1"/>
    <cfRule type="duplicateValues" dxfId="1263" priority="2836" stopIfTrue="1"/>
    <cfRule type="duplicateValues" dxfId="1262" priority="2835" stopIfTrue="1"/>
    <cfRule type="duplicateValues" dxfId="1261" priority="2834" stopIfTrue="1"/>
    <cfRule type="duplicateValues" dxfId="1260" priority="2833" stopIfTrue="1"/>
    <cfRule type="duplicateValues" dxfId="1259" priority="2832"/>
    <cfRule type="duplicateValues" dxfId="1258" priority="2831"/>
    <cfRule type="duplicateValues" dxfId="1257" priority="2830"/>
    <cfRule type="duplicateValues" dxfId="1256" priority="2829"/>
    <cfRule type="duplicateValues" dxfId="1255" priority="2828"/>
    <cfRule type="duplicateValues" dxfId="1254" priority="2827"/>
    <cfRule type="duplicateValues" dxfId="1253" priority="2826"/>
    <cfRule type="duplicateValues" dxfId="1252" priority="2825" stopIfTrue="1"/>
    <cfRule type="duplicateValues" dxfId="1251" priority="2824" stopIfTrue="1"/>
    <cfRule type="duplicateValues" dxfId="1250" priority="2823" stopIfTrue="1"/>
    <cfRule type="duplicateValues" dxfId="1249" priority="2822" stopIfTrue="1"/>
    <cfRule type="duplicateValues" dxfId="1248" priority="2821" stopIfTrue="1"/>
    <cfRule type="duplicateValues" dxfId="1247" priority="2820" stopIfTrue="1"/>
    <cfRule type="duplicateValues" dxfId="1246" priority="2819"/>
    <cfRule type="duplicateValues" dxfId="1245" priority="2818"/>
    <cfRule type="duplicateValues" dxfId="1244" priority="2817"/>
    <cfRule type="expression" dxfId="1243" priority="2816" stopIfTrue="1">
      <formula>AND(COUNTIF($B$459:$B$65019, B272)+COUNTIF($B$1:$B$367, B272)&gt;1,NOT(ISBLANK(B272)))</formula>
    </cfRule>
    <cfRule type="duplicateValues" dxfId="1242" priority="2815"/>
    <cfRule type="duplicateValues" dxfId="1241" priority="2814"/>
    <cfRule type="duplicateValues" dxfId="1240" priority="2813"/>
    <cfRule type="duplicateValues" dxfId="1239" priority="2812"/>
    <cfRule type="duplicateValues" dxfId="1238" priority="2811"/>
    <cfRule type="duplicateValues" dxfId="1237" priority="2810"/>
    <cfRule type="duplicateValues" dxfId="1236" priority="2850" stopIfTrue="1"/>
    <cfRule type="expression" dxfId="1235" priority="2849" stopIfTrue="1">
      <formula>#REF!="DESAPROBADO"</formula>
    </cfRule>
    <cfRule type="duplicateValues" dxfId="1234" priority="1234"/>
    <cfRule type="duplicateValues" dxfId="1233" priority="1235"/>
    <cfRule type="duplicateValues" dxfId="1232" priority="1236"/>
    <cfRule type="expression" dxfId="1231" priority="1237" stopIfTrue="1">
      <formula>AND(COUNTIF($B$460:$B$65020, B272)+COUNTIF($B$1:$B$368, B272)&gt;1,NOT(ISBLANK(B272)))</formula>
    </cfRule>
    <cfRule type="duplicateValues" dxfId="1230" priority="1238"/>
    <cfRule type="duplicateValues" dxfId="1229" priority="1239"/>
    <cfRule type="duplicateValues" dxfId="1228" priority="1240"/>
    <cfRule type="duplicateValues" dxfId="1227" priority="1241" stopIfTrue="1"/>
    <cfRule type="duplicateValues" dxfId="1226" priority="1242" stopIfTrue="1"/>
    <cfRule type="duplicateValues" dxfId="1225" priority="1243" stopIfTrue="1"/>
    <cfRule type="duplicateValues" dxfId="1224" priority="1244" stopIfTrue="1"/>
    <cfRule type="duplicateValues" dxfId="1223" priority="1245" stopIfTrue="1"/>
    <cfRule type="duplicateValues" dxfId="1222" priority="1246" stopIfTrue="1"/>
    <cfRule type="duplicateValues" dxfId="1221" priority="1247"/>
    <cfRule type="duplicateValues" dxfId="1220" priority="1248"/>
    <cfRule type="duplicateValues" dxfId="1219" priority="1249"/>
    <cfRule type="duplicateValues" dxfId="1218" priority="1250"/>
    <cfRule type="duplicateValues" dxfId="1217" priority="1251"/>
    <cfRule type="duplicateValues" dxfId="1216" priority="1252"/>
    <cfRule type="expression" dxfId="1215" priority="2851" stopIfTrue="1">
      <formula>AND(COUNTIF(#REF!, B272)+COUNTIF($B$1:$B$20, B272)&gt;1,NOT(ISBLANK(B272)))</formula>
    </cfRule>
    <cfRule type="duplicateValues" dxfId="1214" priority="1255" stopIfTrue="1"/>
    <cfRule type="duplicateValues" dxfId="1213" priority="1256" stopIfTrue="1"/>
    <cfRule type="expression" dxfId="1212" priority="2848" stopIfTrue="1">
      <formula>#REF!="EN PROCESO"</formula>
    </cfRule>
    <cfRule type="expression" dxfId="1211" priority="2847" stopIfTrue="1">
      <formula>#REF!="FINALIZADO"</formula>
    </cfRule>
    <cfRule type="expression" dxfId="1210" priority="2846" stopIfTrue="1">
      <formula>#REF!="ABANDONO"</formula>
    </cfRule>
    <cfRule type="duplicateValues" dxfId="1209" priority="2845" stopIfTrue="1"/>
    <cfRule type="duplicateValues" dxfId="1208" priority="2844"/>
    <cfRule type="duplicateValues" dxfId="1207" priority="2843"/>
    <cfRule type="duplicateValues" dxfId="1206" priority="1273"/>
    <cfRule type="expression" dxfId="1205" priority="1272" stopIfTrue="1">
      <formula>AND(COUNTIF(#REF!, B272)+COUNTIF($B$1:$B$20, B272)&gt;1,NOT(ISBLANK(B272)))</formula>
    </cfRule>
    <cfRule type="duplicateValues" dxfId="1204" priority="1271" stopIfTrue="1"/>
    <cfRule type="duplicateValues" dxfId="1203" priority="1257" stopIfTrue="1"/>
    <cfRule type="duplicateValues" dxfId="1202" priority="1258" stopIfTrue="1"/>
    <cfRule type="duplicateValues" dxfId="1201" priority="1259"/>
    <cfRule type="duplicateValues" dxfId="1200" priority="1260"/>
    <cfRule type="duplicateValues" dxfId="1199" priority="1261"/>
    <cfRule type="duplicateValues" dxfId="1198" priority="1262"/>
    <cfRule type="duplicateValues" dxfId="1197" priority="1263"/>
    <cfRule type="duplicateValues" dxfId="1196" priority="1264"/>
    <cfRule type="duplicateValues" dxfId="1195" priority="1265"/>
    <cfRule type="duplicateValues" dxfId="1194" priority="1253"/>
  </conditionalFormatting>
  <conditionalFormatting sqref="B273">
    <cfRule type="duplicateValues" dxfId="1193" priority="1190"/>
    <cfRule type="duplicateValues" dxfId="1192" priority="1189"/>
    <cfRule type="duplicateValues" dxfId="1191" priority="1188"/>
    <cfRule type="expression" dxfId="1190" priority="2893" stopIfTrue="1">
      <formula>AND(COUNTIF(#REF!, B273)+COUNTIF($B$1:$B$20, B273)&gt;1,NOT(ISBLANK(B273)))</formula>
    </cfRule>
    <cfRule type="duplicateValues" dxfId="1189" priority="2852"/>
    <cfRule type="duplicateValues" dxfId="1188" priority="2853"/>
    <cfRule type="duplicateValues" dxfId="1187" priority="2854"/>
    <cfRule type="duplicateValues" dxfId="1186" priority="2855"/>
    <cfRule type="duplicateValues" dxfId="1185" priority="2856"/>
    <cfRule type="duplicateValues" dxfId="1184" priority="2857"/>
    <cfRule type="expression" dxfId="1183" priority="2858" stopIfTrue="1">
      <formula>AND(COUNTIF($B$458:$B$65018, B273)+COUNTIF($B$1:$B$366, B273)&gt;1,NOT(ISBLANK(B273)))</formula>
    </cfRule>
    <cfRule type="duplicateValues" dxfId="1182" priority="2859"/>
    <cfRule type="duplicateValues" dxfId="1181" priority="2860"/>
    <cfRule type="duplicateValues" dxfId="1180" priority="2861"/>
    <cfRule type="duplicateValues" dxfId="1179" priority="2862" stopIfTrue="1"/>
    <cfRule type="duplicateValues" dxfId="1178" priority="2863" stopIfTrue="1"/>
    <cfRule type="duplicateValues" dxfId="1177" priority="2864" stopIfTrue="1"/>
    <cfRule type="duplicateValues" dxfId="1176" priority="2865" stopIfTrue="1"/>
    <cfRule type="duplicateValues" dxfId="1175" priority="2866" stopIfTrue="1"/>
    <cfRule type="duplicateValues" dxfId="1174" priority="2867" stopIfTrue="1"/>
    <cfRule type="duplicateValues" dxfId="1173" priority="2868"/>
    <cfRule type="duplicateValues" dxfId="1172" priority="2869"/>
    <cfRule type="duplicateValues" dxfId="1171" priority="2870"/>
    <cfRule type="duplicateValues" dxfId="1170" priority="2871"/>
    <cfRule type="duplicateValues" dxfId="1169" priority="2872"/>
    <cfRule type="duplicateValues" dxfId="1168" priority="2873"/>
    <cfRule type="duplicateValues" dxfId="1167" priority="2874"/>
    <cfRule type="duplicateValues" dxfId="1166" priority="2875" stopIfTrue="1"/>
    <cfRule type="duplicateValues" dxfId="1165" priority="2876" stopIfTrue="1"/>
    <cfRule type="duplicateValues" dxfId="1164" priority="2877" stopIfTrue="1"/>
    <cfRule type="duplicateValues" dxfId="1163" priority="2878" stopIfTrue="1"/>
    <cfRule type="duplicateValues" dxfId="1162" priority="2879" stopIfTrue="1"/>
    <cfRule type="duplicateValues" dxfId="1161" priority="2880"/>
    <cfRule type="duplicateValues" dxfId="1160" priority="2881"/>
    <cfRule type="duplicateValues" dxfId="1159" priority="2882"/>
    <cfRule type="duplicateValues" dxfId="1158" priority="2883"/>
    <cfRule type="duplicateValues" dxfId="1157" priority="2884"/>
    <cfRule type="duplicateValues" dxfId="1156" priority="2885"/>
    <cfRule type="duplicateValues" dxfId="1155" priority="2886"/>
    <cfRule type="duplicateValues" dxfId="1154" priority="2887" stopIfTrue="1"/>
    <cfRule type="expression" dxfId="1153" priority="2888" stopIfTrue="1">
      <formula>#REF!="ABANDONO"</formula>
    </cfRule>
    <cfRule type="expression" dxfId="1152" priority="2889" stopIfTrue="1">
      <formula>#REF!="FINALIZADO"</formula>
    </cfRule>
    <cfRule type="duplicateValues" dxfId="1151" priority="1199" stopIfTrue="1"/>
    <cfRule type="expression" dxfId="1150" priority="2890" stopIfTrue="1">
      <formula>#REF!="EN PROCESO"</formula>
    </cfRule>
    <cfRule type="expression" dxfId="1149" priority="2891" stopIfTrue="1">
      <formula>#REF!="DESAPROBADO"</formula>
    </cfRule>
    <cfRule type="duplicateValues" dxfId="1148" priority="2892" stopIfTrue="1"/>
    <cfRule type="duplicateValues" dxfId="1147" priority="1230"/>
    <cfRule type="expression" dxfId="1146" priority="1229" stopIfTrue="1">
      <formula>AND(COUNTIF(#REF!, B273)+COUNTIF($B$1:$B$20, B273)&gt;1,NOT(ISBLANK(B273)))</formula>
    </cfRule>
    <cfRule type="duplicateValues" dxfId="1145" priority="1228" stopIfTrue="1"/>
    <cfRule type="expression" dxfId="1144" priority="1227" stopIfTrue="1">
      <formula>#REF!="DESAPROBADO"</formula>
    </cfRule>
    <cfRule type="expression" dxfId="1143" priority="1226" stopIfTrue="1">
      <formula>#REF!="EN PROCESO"</formula>
    </cfRule>
    <cfRule type="expression" dxfId="1142" priority="1225" stopIfTrue="1">
      <formula>#REF!="FINALIZADO"</formula>
    </cfRule>
    <cfRule type="expression" dxfId="1141" priority="1224" stopIfTrue="1">
      <formula>#REF!="ABANDONO"</formula>
    </cfRule>
    <cfRule type="duplicateValues" dxfId="1140" priority="1223" stopIfTrue="1"/>
    <cfRule type="duplicateValues" dxfId="1139" priority="1222"/>
    <cfRule type="duplicateValues" dxfId="1138" priority="1221"/>
    <cfRule type="duplicateValues" dxfId="1137" priority="1220"/>
    <cfRule type="duplicateValues" dxfId="1136" priority="1219"/>
    <cfRule type="duplicateValues" dxfId="1135" priority="1218"/>
    <cfRule type="duplicateValues" dxfId="1134" priority="1217"/>
    <cfRule type="duplicateValues" dxfId="1133" priority="1216"/>
    <cfRule type="duplicateValues" dxfId="1132" priority="1215" stopIfTrue="1"/>
    <cfRule type="duplicateValues" dxfId="1131" priority="1214" stopIfTrue="1"/>
    <cfRule type="duplicateValues" dxfId="1130" priority="1213" stopIfTrue="1"/>
    <cfRule type="duplicateValues" dxfId="1129" priority="1212" stopIfTrue="1"/>
    <cfRule type="duplicateValues" dxfId="1128" priority="1211" stopIfTrue="1"/>
    <cfRule type="duplicateValues" dxfId="1127" priority="1210"/>
    <cfRule type="duplicateValues" dxfId="1126" priority="1209"/>
    <cfRule type="duplicateValues" dxfId="1125" priority="1208"/>
    <cfRule type="duplicateValues" dxfId="1124" priority="1207"/>
    <cfRule type="duplicateValues" dxfId="1123" priority="1206"/>
    <cfRule type="duplicateValues" dxfId="1122" priority="1205"/>
    <cfRule type="duplicateValues" dxfId="1121" priority="1204"/>
    <cfRule type="duplicateValues" dxfId="1120" priority="1203" stopIfTrue="1"/>
    <cfRule type="duplicateValues" dxfId="1119" priority="1202" stopIfTrue="1"/>
    <cfRule type="duplicateValues" dxfId="1118" priority="1201" stopIfTrue="1"/>
    <cfRule type="duplicateValues" dxfId="1117" priority="1200" stopIfTrue="1"/>
    <cfRule type="duplicateValues" dxfId="1116" priority="1198" stopIfTrue="1"/>
    <cfRule type="duplicateValues" dxfId="1115" priority="1197"/>
    <cfRule type="duplicateValues" dxfId="1114" priority="1196"/>
    <cfRule type="duplicateValues" dxfId="1113" priority="1195"/>
    <cfRule type="expression" dxfId="1112" priority="1194" stopIfTrue="1">
      <formula>AND(COUNTIF($B$459:$B$65019, B273)+COUNTIF($B$1:$B$367, B273)&gt;1,NOT(ISBLANK(B273)))</formula>
    </cfRule>
    <cfRule type="duplicateValues" dxfId="1111" priority="1193"/>
    <cfRule type="duplicateValues" dxfId="1110" priority="1192"/>
    <cfRule type="duplicateValues" dxfId="1109" priority="1191"/>
  </conditionalFormatting>
  <conditionalFormatting sqref="B274">
    <cfRule type="duplicateValues" dxfId="1108" priority="1117" stopIfTrue="1"/>
    <cfRule type="duplicateValues" dxfId="1107" priority="1105"/>
    <cfRule type="duplicateValues" dxfId="1106" priority="1104"/>
    <cfRule type="duplicateValues" dxfId="1105" priority="1103"/>
    <cfRule type="duplicateValues" dxfId="1104" priority="1102"/>
    <cfRule type="expression" dxfId="1103" priority="1108" stopIfTrue="1">
      <formula>AND(COUNTIF($B$456:$B$65016, B274)+COUNTIF($B$1:$B$364, B274)&gt;1,NOT(ISBLANK(B274)))</formula>
    </cfRule>
    <cfRule type="duplicateValues" dxfId="1102" priority="1106"/>
    <cfRule type="expression" dxfId="1101" priority="1139" stopIfTrue="1">
      <formula>#REF!="FINALIZADO"</formula>
    </cfRule>
    <cfRule type="duplicateValues" dxfId="1100" priority="1128" stopIfTrue="1"/>
    <cfRule type="duplicateValues" dxfId="1099" priority="1144"/>
    <cfRule type="expression" dxfId="1098" priority="1143" stopIfTrue="1">
      <formula>AND(COUNTIF(#REF!, B274)+COUNTIF($B$1:$B$20, B274)&gt;1,NOT(ISBLANK(B274)))</formula>
    </cfRule>
    <cfRule type="duplicateValues" dxfId="1097" priority="1142" stopIfTrue="1"/>
    <cfRule type="expression" dxfId="1096" priority="1141" stopIfTrue="1">
      <formula>#REF!="DESAPROBADO"</formula>
    </cfRule>
    <cfRule type="expression" dxfId="1095" priority="1140" stopIfTrue="1">
      <formula>#REF!="EN PROCESO"</formula>
    </cfRule>
    <cfRule type="expression" dxfId="1094" priority="1138" stopIfTrue="1">
      <formula>#REF!="ABANDONO"</formula>
    </cfRule>
    <cfRule type="duplicateValues" dxfId="1093" priority="1137" stopIfTrue="1"/>
    <cfRule type="duplicateValues" dxfId="1092" priority="1136"/>
    <cfRule type="duplicateValues" dxfId="1091" priority="1135"/>
    <cfRule type="duplicateValues" dxfId="1090" priority="1134"/>
    <cfRule type="duplicateValues" dxfId="1089" priority="1133"/>
    <cfRule type="duplicateValues" dxfId="1088" priority="1132"/>
    <cfRule type="duplicateValues" dxfId="1087" priority="1131"/>
    <cfRule type="duplicateValues" dxfId="1086" priority="1130"/>
    <cfRule type="duplicateValues" dxfId="1085" priority="1129" stopIfTrue="1"/>
    <cfRule type="duplicateValues" dxfId="1084" priority="1127" stopIfTrue="1"/>
    <cfRule type="duplicateValues" dxfId="1083" priority="1126" stopIfTrue="1"/>
    <cfRule type="duplicateValues" dxfId="1082" priority="1125" stopIfTrue="1"/>
    <cfRule type="duplicateValues" dxfId="1081" priority="1124"/>
    <cfRule type="duplicateValues" dxfId="1080" priority="1123"/>
    <cfRule type="duplicateValues" dxfId="1079" priority="1122"/>
    <cfRule type="duplicateValues" dxfId="1078" priority="1121"/>
    <cfRule type="duplicateValues" dxfId="1077" priority="1120"/>
    <cfRule type="duplicateValues" dxfId="1076" priority="1119"/>
    <cfRule type="duplicateValues" dxfId="1075" priority="1118"/>
    <cfRule type="duplicateValues" dxfId="1074" priority="1116" stopIfTrue="1"/>
    <cfRule type="duplicateValues" dxfId="1073" priority="1115" stopIfTrue="1"/>
    <cfRule type="duplicateValues" dxfId="1072" priority="1114" stopIfTrue="1"/>
    <cfRule type="duplicateValues" dxfId="1071" priority="1113" stopIfTrue="1"/>
    <cfRule type="duplicateValues" dxfId="1070" priority="1112" stopIfTrue="1"/>
    <cfRule type="duplicateValues" dxfId="1069" priority="1111"/>
    <cfRule type="duplicateValues" dxfId="1068" priority="1110"/>
    <cfRule type="duplicateValues" dxfId="1067" priority="1109"/>
    <cfRule type="duplicateValues" dxfId="1066" priority="1107"/>
  </conditionalFormatting>
  <conditionalFormatting sqref="B275">
    <cfRule type="duplicateValues" dxfId="1065" priority="1063"/>
    <cfRule type="duplicateValues" dxfId="1064" priority="1074" stopIfTrue="1"/>
    <cfRule type="duplicateValues" dxfId="1063" priority="1073" stopIfTrue="1"/>
    <cfRule type="duplicateValues" dxfId="1062" priority="1072" stopIfTrue="1"/>
    <cfRule type="duplicateValues" dxfId="1061" priority="1071" stopIfTrue="1"/>
    <cfRule type="duplicateValues" dxfId="1060" priority="1068"/>
    <cfRule type="duplicateValues" dxfId="1059" priority="1067"/>
    <cfRule type="duplicateValues" dxfId="1058" priority="1066"/>
    <cfRule type="expression" dxfId="1057" priority="1065" stopIfTrue="1">
      <formula>AND(COUNTIF($B$455:$B$65015, B275)+COUNTIF($B$1:$B$363, B275)&gt;1,NOT(ISBLANK(B275)))</formula>
    </cfRule>
    <cfRule type="duplicateValues" dxfId="1056" priority="1064"/>
    <cfRule type="duplicateValues" dxfId="1055" priority="1075"/>
    <cfRule type="duplicateValues" dxfId="1054" priority="1062"/>
    <cfRule type="duplicateValues" dxfId="1053" priority="1061"/>
    <cfRule type="duplicateValues" dxfId="1052" priority="1060"/>
    <cfRule type="duplicateValues" dxfId="1051" priority="1059"/>
    <cfRule type="duplicateValues" dxfId="1050" priority="1101"/>
    <cfRule type="expression" dxfId="1049" priority="1100" stopIfTrue="1">
      <formula>AND(COUNTIF(#REF!, B275)+COUNTIF($B$1:$B$20, B275)&gt;1,NOT(ISBLANK(B275)))</formula>
    </cfRule>
    <cfRule type="duplicateValues" dxfId="1048" priority="1099" stopIfTrue="1"/>
    <cfRule type="expression" dxfId="1047" priority="1098" stopIfTrue="1">
      <formula>#REF!="DESAPROBADO"</formula>
    </cfRule>
    <cfRule type="expression" dxfId="1046" priority="1097" stopIfTrue="1">
      <formula>#REF!="EN PROCESO"</formula>
    </cfRule>
    <cfRule type="expression" dxfId="1045" priority="1096" stopIfTrue="1">
      <formula>#REF!="FINALIZADO"</formula>
    </cfRule>
    <cfRule type="duplicateValues" dxfId="1044" priority="1070" stopIfTrue="1"/>
    <cfRule type="expression" dxfId="1043" priority="1095" stopIfTrue="1">
      <formula>#REF!="ABANDONO"</formula>
    </cfRule>
    <cfRule type="duplicateValues" dxfId="1042" priority="1094" stopIfTrue="1"/>
    <cfRule type="duplicateValues" dxfId="1041" priority="1093"/>
    <cfRule type="duplicateValues" dxfId="1040" priority="1092"/>
    <cfRule type="duplicateValues" dxfId="1039" priority="1091"/>
    <cfRule type="duplicateValues" dxfId="1038" priority="1090"/>
    <cfRule type="duplicateValues" dxfId="1037" priority="1089"/>
    <cfRule type="duplicateValues" dxfId="1036" priority="1088"/>
    <cfRule type="duplicateValues" dxfId="1035" priority="1087"/>
    <cfRule type="duplicateValues" dxfId="1034" priority="1086" stopIfTrue="1"/>
    <cfRule type="duplicateValues" dxfId="1033" priority="1085" stopIfTrue="1"/>
    <cfRule type="duplicateValues" dxfId="1032" priority="1084" stopIfTrue="1"/>
    <cfRule type="duplicateValues" dxfId="1031" priority="1083" stopIfTrue="1"/>
    <cfRule type="duplicateValues" dxfId="1030" priority="1082" stopIfTrue="1"/>
    <cfRule type="duplicateValues" dxfId="1029" priority="1081"/>
    <cfRule type="duplicateValues" dxfId="1028" priority="1080"/>
    <cfRule type="duplicateValues" dxfId="1027" priority="1079"/>
    <cfRule type="duplicateValues" dxfId="1026" priority="1078"/>
    <cfRule type="duplicateValues" dxfId="1025" priority="1077"/>
    <cfRule type="duplicateValues" dxfId="1024" priority="1076"/>
    <cfRule type="duplicateValues" dxfId="1023" priority="1069" stopIfTrue="1"/>
  </conditionalFormatting>
  <conditionalFormatting sqref="B276">
    <cfRule type="duplicateValues" dxfId="1022" priority="1017"/>
    <cfRule type="duplicateValues" dxfId="1021" priority="1016"/>
    <cfRule type="duplicateValues" dxfId="1020" priority="1028" stopIfTrue="1"/>
    <cfRule type="duplicateValues" dxfId="1019" priority="1031" stopIfTrue="1"/>
    <cfRule type="duplicateValues" dxfId="1018" priority="1058"/>
    <cfRule type="expression" dxfId="1017" priority="1057" stopIfTrue="1">
      <formula>AND(COUNTIF(#REF!, B276)+COUNTIF($B$1:$B$20, B276)&gt;1,NOT(ISBLANK(B276)))</formula>
    </cfRule>
    <cfRule type="duplicateValues" dxfId="1016" priority="1056" stopIfTrue="1"/>
    <cfRule type="expression" dxfId="1015" priority="1055" stopIfTrue="1">
      <formula>#REF!="DESAPROBADO"</formula>
    </cfRule>
    <cfRule type="expression" dxfId="1014" priority="1054" stopIfTrue="1">
      <formula>#REF!="EN PROCESO"</formula>
    </cfRule>
    <cfRule type="expression" dxfId="1013" priority="1053" stopIfTrue="1">
      <formula>#REF!="FINALIZADO"</formula>
    </cfRule>
    <cfRule type="expression" dxfId="1012" priority="1052" stopIfTrue="1">
      <formula>#REF!="ABANDONO"</formula>
    </cfRule>
    <cfRule type="duplicateValues" dxfId="1011" priority="1051" stopIfTrue="1"/>
    <cfRule type="duplicateValues" dxfId="1010" priority="1050"/>
    <cfRule type="duplicateValues" dxfId="1009" priority="1049"/>
    <cfRule type="duplicateValues" dxfId="1008" priority="1048"/>
    <cfRule type="duplicateValues" dxfId="1007" priority="1047"/>
    <cfRule type="duplicateValues" dxfId="1006" priority="1046"/>
    <cfRule type="duplicateValues" dxfId="1005" priority="1045"/>
    <cfRule type="duplicateValues" dxfId="1004" priority="1044"/>
    <cfRule type="duplicateValues" dxfId="1003" priority="1043" stopIfTrue="1"/>
    <cfRule type="duplicateValues" dxfId="1002" priority="1042" stopIfTrue="1"/>
    <cfRule type="duplicateValues" dxfId="1001" priority="1040" stopIfTrue="1"/>
    <cfRule type="duplicateValues" dxfId="1000" priority="1039" stopIfTrue="1"/>
    <cfRule type="duplicateValues" dxfId="999" priority="1038"/>
    <cfRule type="duplicateValues" dxfId="998" priority="1037"/>
    <cfRule type="duplicateValues" dxfId="997" priority="1036"/>
    <cfRule type="duplicateValues" dxfId="996" priority="1035"/>
    <cfRule type="duplicateValues" dxfId="995" priority="1034"/>
    <cfRule type="duplicateValues" dxfId="994" priority="1033"/>
    <cfRule type="duplicateValues" dxfId="993" priority="1032"/>
    <cfRule type="duplicateValues" dxfId="992" priority="1029" stopIfTrue="1"/>
    <cfRule type="duplicateValues" dxfId="991" priority="1030" stopIfTrue="1"/>
    <cfRule type="duplicateValues" dxfId="990" priority="1027" stopIfTrue="1"/>
    <cfRule type="duplicateValues" dxfId="989" priority="1026" stopIfTrue="1"/>
    <cfRule type="duplicateValues" dxfId="988" priority="1025"/>
    <cfRule type="duplicateValues" dxfId="987" priority="1024"/>
    <cfRule type="duplicateValues" dxfId="986" priority="1041" stopIfTrue="1"/>
    <cfRule type="duplicateValues" dxfId="985" priority="1023"/>
    <cfRule type="expression" dxfId="984" priority="1022" stopIfTrue="1">
      <formula>AND(COUNTIF($B$454:$B$65014, B276)+COUNTIF($B$1:$B$362, B276)&gt;1,NOT(ISBLANK(B276)))</formula>
    </cfRule>
    <cfRule type="duplicateValues" dxfId="983" priority="1021"/>
    <cfRule type="duplicateValues" dxfId="982" priority="1020"/>
    <cfRule type="duplicateValues" dxfId="981" priority="1019"/>
    <cfRule type="duplicateValues" dxfId="980" priority="1018"/>
  </conditionalFormatting>
  <conditionalFormatting sqref="B277">
    <cfRule type="duplicateValues" dxfId="979" priority="984" stopIfTrue="1"/>
    <cfRule type="duplicateValues" dxfId="978" priority="985" stopIfTrue="1"/>
    <cfRule type="duplicateValues" dxfId="977" priority="986" stopIfTrue="1"/>
    <cfRule type="duplicateValues" dxfId="976" priority="987" stopIfTrue="1"/>
    <cfRule type="duplicateValues" dxfId="975" priority="1013" stopIfTrue="1"/>
    <cfRule type="expression" dxfId="974" priority="1012" stopIfTrue="1">
      <formula>#REF!="DESAPROBADO"</formula>
    </cfRule>
    <cfRule type="expression" dxfId="973" priority="1011" stopIfTrue="1">
      <formula>#REF!="EN PROCESO"</formula>
    </cfRule>
    <cfRule type="expression" dxfId="972" priority="1010" stopIfTrue="1">
      <formula>#REF!="FINALIZADO"</formula>
    </cfRule>
    <cfRule type="expression" dxfId="971" priority="1009" stopIfTrue="1">
      <formula>#REF!="ABANDONO"</formula>
    </cfRule>
    <cfRule type="duplicateValues" dxfId="970" priority="1008" stopIfTrue="1"/>
    <cfRule type="duplicateValues" dxfId="969" priority="1007"/>
    <cfRule type="duplicateValues" dxfId="968" priority="1006"/>
    <cfRule type="duplicateValues" dxfId="967" priority="1005"/>
    <cfRule type="duplicateValues" dxfId="966" priority="1004"/>
    <cfRule type="duplicateValues" dxfId="965" priority="1003"/>
    <cfRule type="duplicateValues" dxfId="964" priority="1002"/>
    <cfRule type="duplicateValues" dxfId="963" priority="1001"/>
    <cfRule type="duplicateValues" dxfId="962" priority="1000" stopIfTrue="1"/>
    <cfRule type="duplicateValues" dxfId="961" priority="999" stopIfTrue="1"/>
    <cfRule type="duplicateValues" dxfId="960" priority="998" stopIfTrue="1"/>
    <cfRule type="duplicateValues" dxfId="959" priority="997" stopIfTrue="1"/>
    <cfRule type="duplicateValues" dxfId="958" priority="996" stopIfTrue="1"/>
    <cfRule type="duplicateValues" dxfId="957" priority="995"/>
    <cfRule type="duplicateValues" dxfId="956" priority="994"/>
    <cfRule type="duplicateValues" dxfId="955" priority="993"/>
    <cfRule type="duplicateValues" dxfId="954" priority="992"/>
    <cfRule type="duplicateValues" dxfId="953" priority="991"/>
    <cfRule type="duplicateValues" dxfId="952" priority="990"/>
    <cfRule type="duplicateValues" dxfId="951" priority="989"/>
    <cfRule type="duplicateValues" dxfId="950" priority="988" stopIfTrue="1"/>
    <cfRule type="duplicateValues" dxfId="949" priority="1015"/>
    <cfRule type="duplicateValues" dxfId="948" priority="980"/>
    <cfRule type="expression" dxfId="947" priority="979" stopIfTrue="1">
      <formula>AND(COUNTIF($B$453:$B$65013, B277)+COUNTIF($B$1:$B$361, B277)&gt;1,NOT(ISBLANK(B277)))</formula>
    </cfRule>
    <cfRule type="duplicateValues" dxfId="946" priority="978"/>
    <cfRule type="duplicateValues" dxfId="945" priority="977"/>
    <cfRule type="duplicateValues" dxfId="944" priority="976"/>
    <cfRule type="duplicateValues" dxfId="943" priority="983" stopIfTrue="1"/>
    <cfRule type="duplicateValues" dxfId="942" priority="975"/>
    <cfRule type="duplicateValues" dxfId="941" priority="974"/>
    <cfRule type="duplicateValues" dxfId="940" priority="973"/>
    <cfRule type="expression" dxfId="939" priority="1014" stopIfTrue="1">
      <formula>AND(COUNTIF(#REF!, B277)+COUNTIF($B$1:$B$20, B277)&gt;1,NOT(ISBLANK(B277)))</formula>
    </cfRule>
    <cfRule type="duplicateValues" dxfId="938" priority="982"/>
    <cfRule type="duplicateValues" dxfId="937" priority="981"/>
  </conditionalFormatting>
  <conditionalFormatting sqref="B278">
    <cfRule type="duplicateValues" dxfId="936" priority="953" stopIfTrue="1"/>
    <cfRule type="duplicateValues" dxfId="935" priority="954" stopIfTrue="1"/>
    <cfRule type="duplicateValues" dxfId="934" priority="955" stopIfTrue="1"/>
    <cfRule type="duplicateValues" dxfId="933" priority="956" stopIfTrue="1"/>
    <cfRule type="duplicateValues" dxfId="932" priority="957" stopIfTrue="1"/>
    <cfRule type="duplicateValues" dxfId="931" priority="958"/>
    <cfRule type="duplicateValues" dxfId="930" priority="959"/>
    <cfRule type="duplicateValues" dxfId="929" priority="960"/>
    <cfRule type="duplicateValues" dxfId="928" priority="961"/>
    <cfRule type="duplicateValues" dxfId="927" priority="962"/>
    <cfRule type="duplicateValues" dxfId="926" priority="950"/>
    <cfRule type="duplicateValues" dxfId="925" priority="963"/>
    <cfRule type="duplicateValues" dxfId="924" priority="964"/>
    <cfRule type="duplicateValues" dxfId="923" priority="965" stopIfTrue="1"/>
    <cfRule type="expression" dxfId="922" priority="966" stopIfTrue="1">
      <formula>#REF!="ABANDONO"</formula>
    </cfRule>
    <cfRule type="expression" dxfId="921" priority="967" stopIfTrue="1">
      <formula>#REF!="FINALIZADO"</formula>
    </cfRule>
    <cfRule type="expression" dxfId="920" priority="968" stopIfTrue="1">
      <formula>#REF!="EN PROCESO"</formula>
    </cfRule>
    <cfRule type="expression" dxfId="919" priority="969" stopIfTrue="1">
      <formula>#REF!="DESAPROBADO"</formula>
    </cfRule>
    <cfRule type="duplicateValues" dxfId="918" priority="970" stopIfTrue="1"/>
    <cfRule type="expression" dxfId="917" priority="971" stopIfTrue="1">
      <formula>AND(COUNTIF(#REF!, B278)+COUNTIF($B$1:$B$20, B278)&gt;1,NOT(ISBLANK(B278)))</formula>
    </cfRule>
    <cfRule type="duplicateValues" dxfId="916" priority="972"/>
    <cfRule type="duplicateValues" dxfId="915" priority="935"/>
    <cfRule type="duplicateValues" dxfId="914" priority="930"/>
    <cfRule type="duplicateValues" dxfId="913" priority="931"/>
    <cfRule type="duplicateValues" dxfId="912" priority="932"/>
    <cfRule type="duplicateValues" dxfId="911" priority="933"/>
    <cfRule type="duplicateValues" dxfId="910" priority="934"/>
    <cfRule type="expression" dxfId="909" priority="936" stopIfTrue="1">
      <formula>AND(COUNTIF($B$452:$B$65012, B278)+COUNTIF($B$1:$B$360, B278)&gt;1,NOT(ISBLANK(B278)))</formula>
    </cfRule>
    <cfRule type="duplicateValues" dxfId="908" priority="937"/>
    <cfRule type="duplicateValues" dxfId="907" priority="938"/>
    <cfRule type="duplicateValues" dxfId="906" priority="939"/>
    <cfRule type="duplicateValues" dxfId="905" priority="940" stopIfTrue="1"/>
    <cfRule type="duplicateValues" dxfId="904" priority="941" stopIfTrue="1"/>
    <cfRule type="duplicateValues" dxfId="903" priority="942" stopIfTrue="1"/>
    <cfRule type="duplicateValues" dxfId="902" priority="943" stopIfTrue="1"/>
    <cfRule type="duplicateValues" dxfId="901" priority="944" stopIfTrue="1"/>
    <cfRule type="duplicateValues" dxfId="900" priority="945" stopIfTrue="1"/>
    <cfRule type="duplicateValues" dxfId="899" priority="946"/>
    <cfRule type="duplicateValues" dxfId="898" priority="947"/>
    <cfRule type="duplicateValues" dxfId="897" priority="948"/>
    <cfRule type="duplicateValues" dxfId="896" priority="949"/>
    <cfRule type="duplicateValues" dxfId="895" priority="951"/>
    <cfRule type="duplicateValues" dxfId="894" priority="952"/>
  </conditionalFormatting>
  <conditionalFormatting sqref="B279">
    <cfRule type="duplicateValues" dxfId="893" priority="887"/>
    <cfRule type="duplicateValues" dxfId="892" priority="888"/>
    <cfRule type="duplicateValues" dxfId="891" priority="889"/>
    <cfRule type="duplicateValues" dxfId="890" priority="890"/>
    <cfRule type="duplicateValues" dxfId="889" priority="891"/>
    <cfRule type="duplicateValues" dxfId="888" priority="892"/>
    <cfRule type="expression" dxfId="887" priority="893" stopIfTrue="1">
      <formula>AND(COUNTIF($B$451:$B$65011, B279)+COUNTIF($B$1:$B$359, B279)&gt;1,NOT(ISBLANK(B279)))</formula>
    </cfRule>
    <cfRule type="duplicateValues" dxfId="886" priority="894"/>
    <cfRule type="duplicateValues" dxfId="885" priority="895"/>
    <cfRule type="duplicateValues" dxfId="884" priority="896"/>
    <cfRule type="duplicateValues" dxfId="883" priority="897" stopIfTrue="1"/>
    <cfRule type="duplicateValues" dxfId="882" priority="898" stopIfTrue="1"/>
    <cfRule type="duplicateValues" dxfId="881" priority="899" stopIfTrue="1"/>
    <cfRule type="duplicateValues" dxfId="880" priority="900" stopIfTrue="1"/>
    <cfRule type="duplicateValues" dxfId="879" priority="901" stopIfTrue="1"/>
    <cfRule type="duplicateValues" dxfId="878" priority="902" stopIfTrue="1"/>
    <cfRule type="duplicateValues" dxfId="877" priority="904"/>
    <cfRule type="duplicateValues" dxfId="876" priority="905"/>
    <cfRule type="duplicateValues" dxfId="875" priority="906"/>
    <cfRule type="duplicateValues" dxfId="874" priority="907"/>
    <cfRule type="duplicateValues" dxfId="873" priority="927" stopIfTrue="1"/>
    <cfRule type="expression" dxfId="872" priority="928" stopIfTrue="1">
      <formula>AND(COUNTIF(#REF!, B279)+COUNTIF($B$1:$B$20, B279)&gt;1,NOT(ISBLANK(B279)))</formula>
    </cfRule>
    <cfRule type="duplicateValues" dxfId="871" priority="929"/>
    <cfRule type="duplicateValues" dxfId="870" priority="918"/>
    <cfRule type="duplicateValues" dxfId="869" priority="920"/>
    <cfRule type="duplicateValues" dxfId="868" priority="921"/>
    <cfRule type="duplicateValues" dxfId="867" priority="922" stopIfTrue="1"/>
    <cfRule type="expression" dxfId="866" priority="923" stopIfTrue="1">
      <formula>#REF!="ABANDONO"</formula>
    </cfRule>
    <cfRule type="expression" dxfId="865" priority="924" stopIfTrue="1">
      <formula>#REF!="FINALIZADO"</formula>
    </cfRule>
    <cfRule type="duplicateValues" dxfId="864" priority="903"/>
    <cfRule type="expression" dxfId="863" priority="925" stopIfTrue="1">
      <formula>#REF!="EN PROCESO"</formula>
    </cfRule>
    <cfRule type="expression" dxfId="862" priority="926" stopIfTrue="1">
      <formula>#REF!="DESAPROBADO"</formula>
    </cfRule>
    <cfRule type="duplicateValues" dxfId="861" priority="917"/>
    <cfRule type="duplicateValues" dxfId="860" priority="916"/>
    <cfRule type="duplicateValues" dxfId="859" priority="915"/>
    <cfRule type="duplicateValues" dxfId="858" priority="914" stopIfTrue="1"/>
    <cfRule type="duplicateValues" dxfId="857" priority="913" stopIfTrue="1"/>
    <cfRule type="duplicateValues" dxfId="856" priority="912" stopIfTrue="1"/>
    <cfRule type="duplicateValues" dxfId="855" priority="911" stopIfTrue="1"/>
    <cfRule type="duplicateValues" dxfId="854" priority="910" stopIfTrue="1"/>
    <cfRule type="duplicateValues" dxfId="853" priority="909"/>
    <cfRule type="duplicateValues" dxfId="852" priority="908"/>
    <cfRule type="duplicateValues" dxfId="851" priority="919"/>
  </conditionalFormatting>
  <conditionalFormatting sqref="B280">
    <cfRule type="duplicateValues" dxfId="850" priority="875"/>
    <cfRule type="duplicateValues" dxfId="849" priority="886"/>
    <cfRule type="expression" dxfId="848" priority="885" stopIfTrue="1">
      <formula>AND(COUNTIF(#REF!, B280)+COUNTIF($B$1:$B$20, B280)&gt;1,NOT(ISBLANK(B280)))</formula>
    </cfRule>
    <cfRule type="duplicateValues" dxfId="847" priority="884" stopIfTrue="1"/>
    <cfRule type="expression" dxfId="846" priority="883" stopIfTrue="1">
      <formula>#REF!="DESAPROBADO"</formula>
    </cfRule>
    <cfRule type="expression" dxfId="845" priority="882" stopIfTrue="1">
      <formula>#REF!="EN PROCESO"</formula>
    </cfRule>
    <cfRule type="expression" dxfId="844" priority="881" stopIfTrue="1">
      <formula>#REF!="FINALIZADO"</formula>
    </cfRule>
    <cfRule type="expression" dxfId="843" priority="880" stopIfTrue="1">
      <formula>#REF!="ABANDONO"</formula>
    </cfRule>
    <cfRule type="duplicateValues" dxfId="842" priority="879" stopIfTrue="1"/>
    <cfRule type="duplicateValues" dxfId="841" priority="878"/>
    <cfRule type="duplicateValues" dxfId="840" priority="877"/>
    <cfRule type="duplicateValues" dxfId="839" priority="876"/>
    <cfRule type="duplicateValues" dxfId="838" priority="874"/>
    <cfRule type="duplicateValues" dxfId="837" priority="873"/>
    <cfRule type="duplicateValues" dxfId="836" priority="872"/>
    <cfRule type="duplicateValues" dxfId="835" priority="871" stopIfTrue="1"/>
    <cfRule type="duplicateValues" dxfId="834" priority="870" stopIfTrue="1"/>
    <cfRule type="duplicateValues" dxfId="833" priority="869" stopIfTrue="1"/>
    <cfRule type="duplicateValues" dxfId="832" priority="868" stopIfTrue="1"/>
    <cfRule type="duplicateValues" dxfId="831" priority="867" stopIfTrue="1"/>
    <cfRule type="duplicateValues" dxfId="830" priority="866"/>
    <cfRule type="duplicateValues" dxfId="829" priority="865"/>
    <cfRule type="duplicateValues" dxfId="828" priority="864"/>
    <cfRule type="duplicateValues" dxfId="827" priority="863"/>
    <cfRule type="duplicateValues" dxfId="826" priority="862"/>
    <cfRule type="duplicateValues" dxfId="825" priority="861"/>
    <cfRule type="duplicateValues" dxfId="824" priority="860"/>
    <cfRule type="duplicateValues" dxfId="823" priority="859" stopIfTrue="1"/>
    <cfRule type="duplicateValues" dxfId="822" priority="858" stopIfTrue="1"/>
    <cfRule type="duplicateValues" dxfId="821" priority="857" stopIfTrue="1"/>
    <cfRule type="duplicateValues" dxfId="820" priority="856" stopIfTrue="1"/>
    <cfRule type="duplicateValues" dxfId="819" priority="855" stopIfTrue="1"/>
    <cfRule type="duplicateValues" dxfId="818" priority="854" stopIfTrue="1"/>
    <cfRule type="duplicateValues" dxfId="817" priority="853"/>
    <cfRule type="duplicateValues" dxfId="816" priority="852"/>
    <cfRule type="duplicateValues" dxfId="815" priority="851"/>
    <cfRule type="expression" dxfId="814" priority="850" stopIfTrue="1">
      <formula>AND(COUNTIF($B$450:$B$65010, B280)+COUNTIF($B$1:$B$358, B280)&gt;1,NOT(ISBLANK(B280)))</formula>
    </cfRule>
    <cfRule type="duplicateValues" dxfId="813" priority="849"/>
    <cfRule type="duplicateValues" dxfId="812" priority="848"/>
    <cfRule type="duplicateValues" dxfId="811" priority="847"/>
    <cfRule type="duplicateValues" dxfId="810" priority="846"/>
    <cfRule type="duplicateValues" dxfId="809" priority="845"/>
    <cfRule type="duplicateValues" dxfId="808" priority="844"/>
  </conditionalFormatting>
  <conditionalFormatting sqref="B281">
    <cfRule type="expression" dxfId="807" priority="842" stopIfTrue="1">
      <formula>AND(COUNTIF(#REF!, B281)+COUNTIF($B$1:$B$20, B281)&gt;1,NOT(ISBLANK(B281)))</formula>
    </cfRule>
    <cfRule type="duplicateValues" dxfId="806" priority="832"/>
    <cfRule type="duplicateValues" dxfId="805" priority="833"/>
    <cfRule type="duplicateValues" dxfId="804" priority="834"/>
    <cfRule type="duplicateValues" dxfId="803" priority="835"/>
    <cfRule type="duplicateValues" dxfId="802" priority="836" stopIfTrue="1"/>
    <cfRule type="expression" dxfId="801" priority="837" stopIfTrue="1">
      <formula>#REF!="ABANDONO"</formula>
    </cfRule>
    <cfRule type="expression" dxfId="800" priority="839" stopIfTrue="1">
      <formula>#REF!="EN PROCESO"</formula>
    </cfRule>
    <cfRule type="expression" dxfId="799" priority="840" stopIfTrue="1">
      <formula>#REF!="DESAPROBADO"</formula>
    </cfRule>
    <cfRule type="duplicateValues" dxfId="798" priority="841" stopIfTrue="1"/>
    <cfRule type="duplicateValues" dxfId="797" priority="830"/>
    <cfRule type="duplicateValues" dxfId="796" priority="843"/>
    <cfRule type="duplicateValues" dxfId="795" priority="831"/>
    <cfRule type="duplicateValues" dxfId="794" priority="819"/>
    <cfRule type="duplicateValues" dxfId="793" priority="820"/>
    <cfRule type="duplicateValues" dxfId="792" priority="821"/>
    <cfRule type="duplicateValues" dxfId="791" priority="822"/>
    <cfRule type="duplicateValues" dxfId="790" priority="823"/>
    <cfRule type="duplicateValues" dxfId="789" priority="829"/>
    <cfRule type="duplicateValues" dxfId="788" priority="824" stopIfTrue="1"/>
    <cfRule type="duplicateValues" dxfId="787" priority="825" stopIfTrue="1"/>
    <cfRule type="duplicateValues" dxfId="786" priority="815" stopIfTrue="1"/>
    <cfRule type="duplicateValues" dxfId="785" priority="826" stopIfTrue="1"/>
    <cfRule type="duplicateValues" dxfId="784" priority="827" stopIfTrue="1"/>
    <cfRule type="expression" dxfId="783" priority="838" stopIfTrue="1">
      <formula>#REF!="FINALIZADO"</formula>
    </cfRule>
    <cfRule type="duplicateValues" dxfId="782" priority="828" stopIfTrue="1"/>
    <cfRule type="duplicateValues" dxfId="781" priority="816" stopIfTrue="1"/>
    <cfRule type="duplicateValues" dxfId="780" priority="817"/>
    <cfRule type="duplicateValues" dxfId="779" priority="818"/>
    <cfRule type="duplicateValues" dxfId="778" priority="814" stopIfTrue="1"/>
    <cfRule type="duplicateValues" dxfId="777" priority="813" stopIfTrue="1"/>
    <cfRule type="duplicateValues" dxfId="776" priority="812" stopIfTrue="1"/>
    <cfRule type="duplicateValues" dxfId="775" priority="811" stopIfTrue="1"/>
    <cfRule type="duplicateValues" dxfId="774" priority="810"/>
    <cfRule type="duplicateValues" dxfId="773" priority="809"/>
    <cfRule type="duplicateValues" dxfId="772" priority="808"/>
    <cfRule type="expression" dxfId="771" priority="807" stopIfTrue="1">
      <formula>AND(COUNTIF($B$449:$B$65009, B281)+COUNTIF($B$1:$B$357, B281)&gt;1,NOT(ISBLANK(B281)))</formula>
    </cfRule>
    <cfRule type="duplicateValues" dxfId="770" priority="806"/>
    <cfRule type="duplicateValues" dxfId="769" priority="805"/>
    <cfRule type="duplicateValues" dxfId="768" priority="804"/>
    <cfRule type="duplicateValues" dxfId="767" priority="803"/>
    <cfRule type="duplicateValues" dxfId="766" priority="802"/>
    <cfRule type="duplicateValues" dxfId="765" priority="801"/>
  </conditionalFormatting>
  <conditionalFormatting sqref="B282">
    <cfRule type="duplicateValues" dxfId="764" priority="758"/>
    <cfRule type="duplicateValues" dxfId="763" priority="759"/>
    <cfRule type="expression" dxfId="762" priority="764" stopIfTrue="1">
      <formula>AND(COUNTIF($B$448:$B$65008, B282)+COUNTIF($B$1:$B$356, B282)&gt;1,NOT(ISBLANK(B282)))</formula>
    </cfRule>
    <cfRule type="duplicateValues" dxfId="761" priority="765"/>
    <cfRule type="duplicateValues" dxfId="760" priority="766"/>
    <cfRule type="duplicateValues" dxfId="759" priority="767"/>
    <cfRule type="duplicateValues" dxfId="758" priority="769" stopIfTrue="1"/>
    <cfRule type="duplicateValues" dxfId="757" priority="770" stopIfTrue="1"/>
    <cfRule type="duplicateValues" dxfId="756" priority="760"/>
    <cfRule type="duplicateValues" dxfId="755" priority="793" stopIfTrue="1"/>
    <cfRule type="duplicateValues" dxfId="754" priority="761"/>
    <cfRule type="duplicateValues" dxfId="753" priority="762"/>
    <cfRule type="duplicateValues" dxfId="752" priority="763"/>
    <cfRule type="duplicateValues" dxfId="751" priority="768" stopIfTrue="1"/>
    <cfRule type="duplicateValues" dxfId="750" priority="800"/>
    <cfRule type="duplicateValues" dxfId="749" priority="773" stopIfTrue="1"/>
    <cfRule type="expression" dxfId="748" priority="799" stopIfTrue="1">
      <formula>AND(COUNTIF(#REF!, B282)+COUNTIF($B$1:$B$20, B282)&gt;1,NOT(ISBLANK(B282)))</formula>
    </cfRule>
    <cfRule type="duplicateValues" dxfId="747" priority="798" stopIfTrue="1"/>
    <cfRule type="expression" dxfId="746" priority="797" stopIfTrue="1">
      <formula>#REF!="DESAPROBADO"</formula>
    </cfRule>
    <cfRule type="expression" dxfId="745" priority="796" stopIfTrue="1">
      <formula>#REF!="EN PROCESO"</formula>
    </cfRule>
    <cfRule type="expression" dxfId="744" priority="795" stopIfTrue="1">
      <formula>#REF!="FINALIZADO"</formula>
    </cfRule>
    <cfRule type="expression" dxfId="743" priority="794" stopIfTrue="1">
      <formula>#REF!="ABANDONO"</formula>
    </cfRule>
    <cfRule type="duplicateValues" dxfId="742" priority="792"/>
    <cfRule type="duplicateValues" dxfId="741" priority="791"/>
    <cfRule type="duplicateValues" dxfId="740" priority="790"/>
    <cfRule type="duplicateValues" dxfId="739" priority="789"/>
    <cfRule type="duplicateValues" dxfId="738" priority="788"/>
    <cfRule type="duplicateValues" dxfId="737" priority="787"/>
    <cfRule type="duplicateValues" dxfId="736" priority="786"/>
    <cfRule type="duplicateValues" dxfId="735" priority="785" stopIfTrue="1"/>
    <cfRule type="duplicateValues" dxfId="734" priority="784" stopIfTrue="1"/>
    <cfRule type="duplicateValues" dxfId="733" priority="783" stopIfTrue="1"/>
    <cfRule type="duplicateValues" dxfId="732" priority="782" stopIfTrue="1"/>
    <cfRule type="duplicateValues" dxfId="731" priority="781" stopIfTrue="1"/>
    <cfRule type="duplicateValues" dxfId="730" priority="780"/>
    <cfRule type="duplicateValues" dxfId="729" priority="779"/>
    <cfRule type="duplicateValues" dxfId="728" priority="778"/>
    <cfRule type="duplicateValues" dxfId="727" priority="777"/>
    <cfRule type="duplicateValues" dxfId="726" priority="776"/>
    <cfRule type="duplicateValues" dxfId="725" priority="775"/>
    <cfRule type="duplicateValues" dxfId="724" priority="774"/>
    <cfRule type="duplicateValues" dxfId="723" priority="771" stopIfTrue="1"/>
    <cfRule type="duplicateValues" dxfId="722" priority="772" stopIfTrue="1"/>
  </conditionalFormatting>
  <conditionalFormatting sqref="B283">
    <cfRule type="duplicateValues" dxfId="721" priority="738" stopIfTrue="1"/>
    <cfRule type="duplicateValues" dxfId="720" priority="729" stopIfTrue="1"/>
    <cfRule type="duplicateValues" dxfId="719" priority="730" stopIfTrue="1"/>
    <cfRule type="duplicateValues" dxfId="718" priority="731"/>
    <cfRule type="duplicateValues" dxfId="717" priority="732"/>
    <cfRule type="duplicateValues" dxfId="716" priority="733"/>
    <cfRule type="duplicateValues" dxfId="715" priority="734"/>
    <cfRule type="duplicateValues" dxfId="714" priority="735"/>
    <cfRule type="duplicateValues" dxfId="713" priority="736"/>
    <cfRule type="duplicateValues" dxfId="712" priority="737"/>
    <cfRule type="duplicateValues" dxfId="711" priority="739" stopIfTrue="1"/>
    <cfRule type="duplicateValues" dxfId="710" priority="740" stopIfTrue="1"/>
    <cfRule type="duplicateValues" dxfId="709" priority="741" stopIfTrue="1"/>
    <cfRule type="duplicateValues" dxfId="708" priority="742" stopIfTrue="1"/>
    <cfRule type="duplicateValues" dxfId="707" priority="743"/>
    <cfRule type="duplicateValues" dxfId="706" priority="744"/>
    <cfRule type="duplicateValues" dxfId="705" priority="745"/>
    <cfRule type="duplicateValues" dxfId="704" priority="746"/>
    <cfRule type="duplicateValues" dxfId="703" priority="747"/>
    <cfRule type="duplicateValues" dxfId="702" priority="748"/>
    <cfRule type="duplicateValues" dxfId="701" priority="749"/>
    <cfRule type="duplicateValues" dxfId="700" priority="750" stopIfTrue="1"/>
    <cfRule type="expression" dxfId="699" priority="751" stopIfTrue="1">
      <formula>#REF!="ABANDONO"</formula>
    </cfRule>
    <cfRule type="expression" dxfId="698" priority="752" stopIfTrue="1">
      <formula>#REF!="FINALIZADO"</formula>
    </cfRule>
    <cfRule type="expression" dxfId="697" priority="753" stopIfTrue="1">
      <formula>#REF!="EN PROCESO"</formula>
    </cfRule>
    <cfRule type="expression" dxfId="696" priority="754" stopIfTrue="1">
      <formula>#REF!="DESAPROBADO"</formula>
    </cfRule>
    <cfRule type="duplicateValues" dxfId="695" priority="755" stopIfTrue="1"/>
    <cfRule type="expression" dxfId="694" priority="756" stopIfTrue="1">
      <formula>AND(COUNTIF(#REF!, B283)+COUNTIF($B$1:$B$20, B283)&gt;1,NOT(ISBLANK(B283)))</formula>
    </cfRule>
    <cfRule type="duplicateValues" dxfId="693" priority="757"/>
    <cfRule type="duplicateValues" dxfId="692" priority="728" stopIfTrue="1"/>
    <cfRule type="duplicateValues" dxfId="691" priority="727" stopIfTrue="1"/>
    <cfRule type="duplicateValues" dxfId="690" priority="726" stopIfTrue="1"/>
    <cfRule type="duplicateValues" dxfId="689" priority="725" stopIfTrue="1"/>
    <cfRule type="duplicateValues" dxfId="688" priority="724"/>
    <cfRule type="duplicateValues" dxfId="687" priority="723"/>
    <cfRule type="duplicateValues" dxfId="686" priority="722"/>
    <cfRule type="expression" dxfId="685" priority="721" stopIfTrue="1">
      <formula>AND(COUNTIF($B$448:$B$65008, B283)+COUNTIF($B$1:$B$356, B283)&gt;1,NOT(ISBLANK(B283)))</formula>
    </cfRule>
    <cfRule type="duplicateValues" dxfId="684" priority="720"/>
    <cfRule type="duplicateValues" dxfId="683" priority="719"/>
    <cfRule type="duplicateValues" dxfId="682" priority="718"/>
    <cfRule type="duplicateValues" dxfId="681" priority="717"/>
    <cfRule type="duplicateValues" dxfId="680" priority="716"/>
    <cfRule type="duplicateValues" dxfId="679" priority="715"/>
  </conditionalFormatting>
  <conditionalFormatting sqref="B284">
    <cfRule type="duplicateValues" dxfId="678" priority="684" stopIfTrue="1"/>
    <cfRule type="duplicateValues" dxfId="677" priority="683" stopIfTrue="1"/>
    <cfRule type="duplicateValues" dxfId="676" priority="682" stopIfTrue="1"/>
    <cfRule type="duplicateValues" dxfId="675" priority="681"/>
    <cfRule type="duplicateValues" dxfId="674" priority="680"/>
    <cfRule type="duplicateValues" dxfId="673" priority="679"/>
    <cfRule type="expression" dxfId="672" priority="678" stopIfTrue="1">
      <formula>AND(COUNTIF($B$447:$B$65007, B284)+COUNTIF($B$1:$B$355, B284)&gt;1,NOT(ISBLANK(B284)))</formula>
    </cfRule>
    <cfRule type="duplicateValues" dxfId="671" priority="677"/>
    <cfRule type="duplicateValues" dxfId="670" priority="676"/>
    <cfRule type="duplicateValues" dxfId="669" priority="675"/>
    <cfRule type="duplicateValues" dxfId="668" priority="674"/>
    <cfRule type="duplicateValues" dxfId="667" priority="673"/>
    <cfRule type="duplicateValues" dxfId="666" priority="672"/>
    <cfRule type="duplicateValues" dxfId="665" priority="686" stopIfTrue="1"/>
    <cfRule type="duplicateValues" dxfId="664" priority="687" stopIfTrue="1"/>
    <cfRule type="duplicateValues" dxfId="663" priority="688"/>
    <cfRule type="duplicateValues" dxfId="662" priority="689"/>
    <cfRule type="duplicateValues" dxfId="661" priority="690"/>
    <cfRule type="duplicateValues" dxfId="660" priority="691"/>
    <cfRule type="duplicateValues" dxfId="659" priority="692"/>
    <cfRule type="duplicateValues" dxfId="658" priority="685" stopIfTrue="1"/>
    <cfRule type="duplicateValues" dxfId="657" priority="706"/>
    <cfRule type="duplicateValues" dxfId="656" priority="693"/>
    <cfRule type="duplicateValues" dxfId="655" priority="694"/>
    <cfRule type="duplicateValues" dxfId="654" priority="695" stopIfTrue="1"/>
    <cfRule type="duplicateValues" dxfId="653" priority="698" stopIfTrue="1"/>
    <cfRule type="duplicateValues" dxfId="652" priority="697" stopIfTrue="1"/>
    <cfRule type="duplicateValues" dxfId="651" priority="699" stopIfTrue="1"/>
    <cfRule type="duplicateValues" dxfId="650" priority="700"/>
    <cfRule type="duplicateValues" dxfId="649" priority="701"/>
    <cfRule type="duplicateValues" dxfId="648" priority="702"/>
    <cfRule type="duplicateValues" dxfId="647" priority="703"/>
    <cfRule type="duplicateValues" dxfId="646" priority="704"/>
    <cfRule type="duplicateValues" dxfId="645" priority="705"/>
    <cfRule type="duplicateValues" dxfId="644" priority="707" stopIfTrue="1"/>
    <cfRule type="expression" dxfId="643" priority="708" stopIfTrue="1">
      <formula>#REF!="ABANDONO"</formula>
    </cfRule>
    <cfRule type="expression" dxfId="642" priority="709" stopIfTrue="1">
      <formula>#REF!="FINALIZADO"</formula>
    </cfRule>
    <cfRule type="expression" dxfId="641" priority="710" stopIfTrue="1">
      <formula>#REF!="EN PROCESO"</formula>
    </cfRule>
    <cfRule type="expression" dxfId="640" priority="711" stopIfTrue="1">
      <formula>#REF!="DESAPROBADO"</formula>
    </cfRule>
    <cfRule type="duplicateValues" dxfId="639" priority="712" stopIfTrue="1"/>
    <cfRule type="expression" dxfId="638" priority="713" stopIfTrue="1">
      <formula>AND(COUNTIF(#REF!, B284)+COUNTIF($B$1:$B$20, B284)&gt;1,NOT(ISBLANK(B284)))</formula>
    </cfRule>
    <cfRule type="duplicateValues" dxfId="637" priority="714"/>
    <cfRule type="duplicateValues" dxfId="636" priority="696" stopIfTrue="1"/>
  </conditionalFormatting>
  <conditionalFormatting sqref="B285">
    <cfRule type="duplicateValues" dxfId="635" priority="642"/>
    <cfRule type="duplicateValues" dxfId="634" priority="641"/>
    <cfRule type="duplicateValues" dxfId="633" priority="640"/>
    <cfRule type="duplicateValues" dxfId="632" priority="639"/>
    <cfRule type="duplicateValues" dxfId="631" priority="638"/>
    <cfRule type="duplicateValues" dxfId="630" priority="637" stopIfTrue="1"/>
    <cfRule type="duplicateValues" dxfId="629" priority="636" stopIfTrue="1"/>
    <cfRule type="duplicateValues" dxfId="628" priority="635" stopIfTrue="1"/>
    <cfRule type="duplicateValues" dxfId="627" priority="633" stopIfTrue="1"/>
    <cfRule type="duplicateValues" dxfId="626" priority="632" stopIfTrue="1"/>
    <cfRule type="duplicateValues" dxfId="625" priority="631"/>
    <cfRule type="duplicateValues" dxfId="624" priority="630"/>
    <cfRule type="duplicateValues" dxfId="623" priority="629"/>
    <cfRule type="duplicateValues" dxfId="622" priority="628"/>
    <cfRule type="expression" dxfId="621" priority="627" stopIfTrue="1">
      <formula>AND(COUNTIF($B$447:$B$65007, B285)+COUNTIF($B$1:$B$355, B285)&gt;1,NOT(ISBLANK(B285)))</formula>
    </cfRule>
    <cfRule type="duplicateValues" dxfId="620" priority="618"/>
    <cfRule type="duplicateValues" dxfId="619" priority="617"/>
    <cfRule type="duplicateValues" dxfId="618" priority="616"/>
    <cfRule type="duplicateValues" dxfId="617" priority="650"/>
    <cfRule type="duplicateValues" dxfId="616" priority="615"/>
    <cfRule type="expression" dxfId="615" priority="663" stopIfTrue="1">
      <formula>AND(COUNTIF(#REF!, B285)+COUNTIF($B$1:$B$20, B285)&gt;1,NOT(ISBLANK(B285)))</formula>
    </cfRule>
    <cfRule type="duplicateValues" dxfId="614" priority="662" stopIfTrue="1"/>
    <cfRule type="expression" dxfId="613" priority="661" stopIfTrue="1">
      <formula>#REF!="DESAPROBADO"</formula>
    </cfRule>
    <cfRule type="expression" dxfId="612" priority="660" stopIfTrue="1">
      <formula>#REF!="EN PROCESO"</formula>
    </cfRule>
    <cfRule type="expression" dxfId="611" priority="659" stopIfTrue="1">
      <formula>#REF!="FINALIZADO"</formula>
    </cfRule>
    <cfRule type="expression" dxfId="610" priority="658" stopIfTrue="1">
      <formula>#REF!="ABANDONO"</formula>
    </cfRule>
    <cfRule type="duplicateValues" dxfId="609" priority="657" stopIfTrue="1"/>
    <cfRule type="duplicateValues" dxfId="608" priority="656"/>
    <cfRule type="duplicateValues" dxfId="607" priority="655"/>
    <cfRule type="duplicateValues" dxfId="606" priority="654"/>
    <cfRule type="duplicateValues" dxfId="605" priority="653"/>
    <cfRule type="duplicateValues" dxfId="604" priority="652"/>
    <cfRule type="duplicateValues" dxfId="603" priority="651"/>
    <cfRule type="duplicateValues" dxfId="602" priority="649" stopIfTrue="1"/>
    <cfRule type="duplicateValues" dxfId="601" priority="648" stopIfTrue="1"/>
    <cfRule type="duplicateValues" dxfId="600" priority="647" stopIfTrue="1"/>
    <cfRule type="duplicateValues" dxfId="599" priority="646" stopIfTrue="1"/>
    <cfRule type="duplicateValues" dxfId="598" priority="645" stopIfTrue="1"/>
    <cfRule type="duplicateValues" dxfId="597" priority="644"/>
    <cfRule type="duplicateValues" dxfId="596" priority="614"/>
    <cfRule type="duplicateValues" dxfId="595" priority="613"/>
    <cfRule type="duplicateValues" dxfId="594" priority="643"/>
    <cfRule type="duplicateValues" dxfId="593" priority="634" stopIfTrue="1"/>
  </conditionalFormatting>
  <conditionalFormatting sqref="B286">
    <cfRule type="duplicateValues" dxfId="592" priority="566"/>
    <cfRule type="duplicateValues" dxfId="591" priority="565"/>
    <cfRule type="duplicateValues" dxfId="590" priority="611" stopIfTrue="1"/>
    <cfRule type="duplicateValues" dxfId="589" priority="564"/>
    <cfRule type="duplicateValues" dxfId="588" priority="562"/>
    <cfRule type="duplicateValues" dxfId="587" priority="606" stopIfTrue="1"/>
    <cfRule type="expression" dxfId="586" priority="576" stopIfTrue="1">
      <formula>AND(COUNTIF($B$447:$B$65007, B286)+COUNTIF($B$1:$B$355, B286)&gt;1,NOT(ISBLANK(B286)))</formula>
    </cfRule>
    <cfRule type="duplicateValues" dxfId="585" priority="567"/>
    <cfRule type="expression" dxfId="584" priority="612" stopIfTrue="1">
      <formula>AND(COUNTIF(#REF!, B286)+COUNTIF($B$1:$B$20, B286)&gt;1,NOT(ISBLANK(B286)))</formula>
    </cfRule>
    <cfRule type="duplicateValues" dxfId="583" priority="563"/>
    <cfRule type="expression" dxfId="582" priority="610" stopIfTrue="1">
      <formula>#REF!="DESAPROBADO"</formula>
    </cfRule>
    <cfRule type="expression" dxfId="581" priority="609" stopIfTrue="1">
      <formula>#REF!="EN PROCESO"</formula>
    </cfRule>
    <cfRule type="expression" dxfId="580" priority="608" stopIfTrue="1">
      <formula>#REF!="FINALIZADO"</formula>
    </cfRule>
    <cfRule type="expression" dxfId="579" priority="607" stopIfTrue="1">
      <formula>#REF!="ABANDONO"</formula>
    </cfRule>
    <cfRule type="duplicateValues" dxfId="578" priority="605"/>
    <cfRule type="duplicateValues" dxfId="577" priority="604"/>
    <cfRule type="duplicateValues" dxfId="576" priority="603"/>
    <cfRule type="duplicateValues" dxfId="575" priority="602"/>
    <cfRule type="duplicateValues" dxfId="574" priority="601"/>
    <cfRule type="duplicateValues" dxfId="573" priority="600"/>
    <cfRule type="duplicateValues" dxfId="572" priority="599"/>
    <cfRule type="duplicateValues" dxfId="571" priority="598" stopIfTrue="1"/>
    <cfRule type="duplicateValues" dxfId="570" priority="597" stopIfTrue="1"/>
    <cfRule type="duplicateValues" dxfId="569" priority="596" stopIfTrue="1"/>
    <cfRule type="duplicateValues" dxfId="568" priority="595" stopIfTrue="1"/>
    <cfRule type="duplicateValues" dxfId="567" priority="585" stopIfTrue="1"/>
    <cfRule type="duplicateValues" dxfId="566" priority="594" stopIfTrue="1"/>
    <cfRule type="duplicateValues" dxfId="565" priority="593"/>
    <cfRule type="duplicateValues" dxfId="564" priority="592"/>
    <cfRule type="duplicateValues" dxfId="563" priority="591"/>
    <cfRule type="duplicateValues" dxfId="562" priority="590"/>
    <cfRule type="duplicateValues" dxfId="561" priority="589"/>
    <cfRule type="duplicateValues" dxfId="560" priority="588"/>
    <cfRule type="duplicateValues" dxfId="559" priority="587"/>
    <cfRule type="duplicateValues" dxfId="558" priority="586" stopIfTrue="1"/>
    <cfRule type="duplicateValues" dxfId="557" priority="584" stopIfTrue="1"/>
    <cfRule type="duplicateValues" dxfId="556" priority="583" stopIfTrue="1"/>
    <cfRule type="duplicateValues" dxfId="555" priority="582" stopIfTrue="1"/>
    <cfRule type="duplicateValues" dxfId="554" priority="581" stopIfTrue="1"/>
    <cfRule type="duplicateValues" dxfId="553" priority="580"/>
    <cfRule type="duplicateValues" dxfId="552" priority="579"/>
    <cfRule type="duplicateValues" dxfId="551" priority="578"/>
    <cfRule type="duplicateValues" dxfId="550" priority="577"/>
  </conditionalFormatting>
  <conditionalFormatting sqref="B287">
    <cfRule type="duplicateValues" dxfId="549" priority="536"/>
    <cfRule type="duplicateValues" dxfId="548" priority="511"/>
    <cfRule type="duplicateValues" dxfId="547" priority="550"/>
    <cfRule type="duplicateValues" dxfId="546" priority="549"/>
    <cfRule type="duplicateValues" dxfId="545" priority="546" stopIfTrue="1"/>
    <cfRule type="duplicateValues" dxfId="544" priority="545" stopIfTrue="1"/>
    <cfRule type="duplicateValues" dxfId="543" priority="544" stopIfTrue="1"/>
    <cfRule type="duplicateValues" dxfId="542" priority="543" stopIfTrue="1"/>
    <cfRule type="duplicateValues" dxfId="541" priority="542"/>
    <cfRule type="duplicateValues" dxfId="540" priority="541"/>
    <cfRule type="duplicateValues" dxfId="539" priority="512"/>
    <cfRule type="duplicateValues" dxfId="538" priority="540"/>
    <cfRule type="duplicateValues" dxfId="537" priority="539"/>
    <cfRule type="duplicateValues" dxfId="536" priority="538"/>
    <cfRule type="duplicateValues" dxfId="535" priority="537"/>
    <cfRule type="duplicateValues" dxfId="534" priority="535" stopIfTrue="1"/>
    <cfRule type="duplicateValues" dxfId="533" priority="534" stopIfTrue="1"/>
    <cfRule type="duplicateValues" dxfId="532" priority="533" stopIfTrue="1"/>
    <cfRule type="duplicateValues" dxfId="531" priority="526"/>
    <cfRule type="duplicateValues" dxfId="530" priority="532" stopIfTrue="1"/>
    <cfRule type="duplicateValues" dxfId="529" priority="531" stopIfTrue="1"/>
    <cfRule type="duplicateValues" dxfId="528" priority="530" stopIfTrue="1"/>
    <cfRule type="duplicateValues" dxfId="527" priority="529"/>
    <cfRule type="duplicateValues" dxfId="526" priority="528"/>
    <cfRule type="duplicateValues" dxfId="525" priority="527"/>
    <cfRule type="expression" dxfId="524" priority="561" stopIfTrue="1">
      <formula>AND(COUNTIF(#REF!, B287)+COUNTIF($B$1:$B$18, B287)&gt;1,NOT(ISBLANK(B287)))</formula>
    </cfRule>
    <cfRule type="duplicateValues" dxfId="523" priority="560" stopIfTrue="1"/>
    <cfRule type="expression" dxfId="522" priority="559" stopIfTrue="1">
      <formula>#REF!="DESAPROBADO"</formula>
    </cfRule>
    <cfRule type="expression" dxfId="521" priority="558" stopIfTrue="1">
      <formula>#REF!="EN PROCESO"</formula>
    </cfRule>
    <cfRule type="expression" dxfId="520" priority="557" stopIfTrue="1">
      <formula>#REF!="FINALIZADO"</formula>
    </cfRule>
    <cfRule type="expression" dxfId="519" priority="556" stopIfTrue="1">
      <formula>#REF!="ABANDONO"</formula>
    </cfRule>
    <cfRule type="duplicateValues" dxfId="518" priority="554"/>
    <cfRule type="duplicateValues" dxfId="517" priority="555" stopIfTrue="1"/>
    <cfRule type="duplicateValues" dxfId="516" priority="553"/>
    <cfRule type="duplicateValues" dxfId="515" priority="552"/>
    <cfRule type="duplicateValues" dxfId="514" priority="551"/>
    <cfRule type="expression" dxfId="513" priority="525" stopIfTrue="1">
      <formula>AND(COUNTIF($B$445:$B$65005, B287)+COUNTIF($B$1:$B$353, B287)&gt;1,NOT(ISBLANK(B287)))</formula>
    </cfRule>
    <cfRule type="duplicateValues" dxfId="512" priority="516"/>
    <cfRule type="duplicateValues" dxfId="511" priority="547" stopIfTrue="1"/>
    <cfRule type="duplicateValues" dxfId="510" priority="515"/>
    <cfRule type="duplicateValues" dxfId="509" priority="514"/>
    <cfRule type="duplicateValues" dxfId="508" priority="513"/>
    <cfRule type="duplicateValues" dxfId="507" priority="548"/>
  </conditionalFormatting>
  <conditionalFormatting sqref="B288">
    <cfRule type="duplicateValues" dxfId="506" priority="461"/>
    <cfRule type="duplicateValues" dxfId="505" priority="460"/>
    <cfRule type="duplicateValues" dxfId="504" priority="498"/>
    <cfRule type="duplicateValues" dxfId="503" priority="462"/>
    <cfRule type="expression" dxfId="502" priority="510" stopIfTrue="1">
      <formula>AND(COUNTIF(#REF!, B288)+COUNTIF($B$1:$B$18, B288)&gt;1,NOT(ISBLANK(B288)))</formula>
    </cfRule>
    <cfRule type="duplicateValues" dxfId="501" priority="509" stopIfTrue="1"/>
    <cfRule type="expression" dxfId="500" priority="508" stopIfTrue="1">
      <formula>#REF!="DESAPROBADO"</formula>
    </cfRule>
    <cfRule type="expression" dxfId="499" priority="507" stopIfTrue="1">
      <formula>#REF!="EN PROCESO"</formula>
    </cfRule>
    <cfRule type="expression" dxfId="498" priority="506" stopIfTrue="1">
      <formula>#REF!="FINALIZADO"</formula>
    </cfRule>
    <cfRule type="expression" dxfId="497" priority="505" stopIfTrue="1">
      <formula>#REF!="ABANDONO"</formula>
    </cfRule>
    <cfRule type="duplicateValues" dxfId="496" priority="504" stopIfTrue="1"/>
    <cfRule type="duplicateValues" dxfId="495" priority="503"/>
    <cfRule type="duplicateValues" dxfId="494" priority="502"/>
    <cfRule type="duplicateValues" dxfId="493" priority="501"/>
    <cfRule type="duplicateValues" dxfId="492" priority="500"/>
    <cfRule type="duplicateValues" dxfId="491" priority="499"/>
    <cfRule type="duplicateValues" dxfId="490" priority="497"/>
    <cfRule type="duplicateValues" dxfId="489" priority="496" stopIfTrue="1"/>
    <cfRule type="duplicateValues" dxfId="488" priority="495" stopIfTrue="1"/>
    <cfRule type="duplicateValues" dxfId="487" priority="494" stopIfTrue="1"/>
    <cfRule type="duplicateValues" dxfId="486" priority="493" stopIfTrue="1"/>
    <cfRule type="duplicateValues" dxfId="485" priority="492" stopIfTrue="1"/>
    <cfRule type="duplicateValues" dxfId="484" priority="491"/>
    <cfRule type="duplicateValues" dxfId="483" priority="490"/>
    <cfRule type="duplicateValues" dxfId="482" priority="489"/>
    <cfRule type="duplicateValues" dxfId="481" priority="488"/>
    <cfRule type="duplicateValues" dxfId="480" priority="487"/>
    <cfRule type="duplicateValues" dxfId="479" priority="486"/>
    <cfRule type="duplicateValues" dxfId="478" priority="485"/>
    <cfRule type="duplicateValues" dxfId="477" priority="484" stopIfTrue="1"/>
    <cfRule type="duplicateValues" dxfId="476" priority="483" stopIfTrue="1"/>
    <cfRule type="duplicateValues" dxfId="475" priority="482" stopIfTrue="1"/>
    <cfRule type="duplicateValues" dxfId="474" priority="481" stopIfTrue="1"/>
    <cfRule type="duplicateValues" dxfId="473" priority="480" stopIfTrue="1"/>
    <cfRule type="duplicateValues" dxfId="472" priority="479" stopIfTrue="1"/>
    <cfRule type="duplicateValues" dxfId="471" priority="478"/>
    <cfRule type="duplicateValues" dxfId="470" priority="477"/>
    <cfRule type="duplicateValues" dxfId="469" priority="476"/>
    <cfRule type="duplicateValues" dxfId="468" priority="475"/>
    <cfRule type="expression" dxfId="467" priority="474" stopIfTrue="1">
      <formula>AND(COUNTIF($B$444:$B$65004, B288)+COUNTIF($B$1:$B$352, B288)&gt;1,NOT(ISBLANK(B288)))</formula>
    </cfRule>
    <cfRule type="duplicateValues" dxfId="466" priority="465"/>
    <cfRule type="duplicateValues" dxfId="465" priority="464"/>
    <cfRule type="duplicateValues" dxfId="464" priority="463"/>
  </conditionalFormatting>
  <conditionalFormatting sqref="B289">
    <cfRule type="duplicateValues" dxfId="463" priority="427"/>
    <cfRule type="duplicateValues" dxfId="462" priority="410"/>
    <cfRule type="duplicateValues" dxfId="461" priority="426"/>
    <cfRule type="duplicateValues" dxfId="460" priority="425"/>
    <cfRule type="duplicateValues" dxfId="459" priority="424"/>
    <cfRule type="expression" dxfId="458" priority="423" stopIfTrue="1">
      <formula>AND(COUNTIF($B$443:$B$65003, B289)+COUNTIF($B$1:$B$351, B289)&gt;1,NOT(ISBLANK(B289)))</formula>
    </cfRule>
    <cfRule type="duplicateValues" dxfId="457" priority="414"/>
    <cfRule type="duplicateValues" dxfId="456" priority="409"/>
    <cfRule type="duplicateValues" dxfId="455" priority="413"/>
    <cfRule type="duplicateValues" dxfId="454" priority="412"/>
    <cfRule type="duplicateValues" dxfId="453" priority="441" stopIfTrue="1"/>
    <cfRule type="duplicateValues" dxfId="452" priority="440"/>
    <cfRule type="duplicateValues" dxfId="451" priority="439"/>
    <cfRule type="duplicateValues" dxfId="450" priority="438"/>
    <cfRule type="duplicateValues" dxfId="449" priority="437"/>
    <cfRule type="duplicateValues" dxfId="448" priority="436"/>
    <cfRule type="duplicateValues" dxfId="447" priority="445" stopIfTrue="1"/>
    <cfRule type="duplicateValues" dxfId="446" priority="435"/>
    <cfRule type="duplicateValues" dxfId="445" priority="434"/>
    <cfRule type="duplicateValues" dxfId="444" priority="433" stopIfTrue="1"/>
    <cfRule type="duplicateValues" dxfId="443" priority="432" stopIfTrue="1"/>
    <cfRule type="duplicateValues" dxfId="442" priority="431" stopIfTrue="1"/>
    <cfRule type="duplicateValues" dxfId="441" priority="430" stopIfTrue="1"/>
    <cfRule type="duplicateValues" dxfId="440" priority="411"/>
    <cfRule type="duplicateValues" dxfId="439" priority="429" stopIfTrue="1"/>
    <cfRule type="duplicateValues" dxfId="438" priority="428" stopIfTrue="1"/>
    <cfRule type="duplicateValues" dxfId="437" priority="442" stopIfTrue="1"/>
    <cfRule type="duplicateValues" dxfId="436" priority="443" stopIfTrue="1"/>
    <cfRule type="duplicateValues" dxfId="435" priority="444" stopIfTrue="1"/>
    <cfRule type="duplicateValues" dxfId="434" priority="446"/>
    <cfRule type="duplicateValues" dxfId="433" priority="447"/>
    <cfRule type="duplicateValues" dxfId="432" priority="448"/>
    <cfRule type="duplicateValues" dxfId="431" priority="449"/>
    <cfRule type="duplicateValues" dxfId="430" priority="450"/>
    <cfRule type="duplicateValues" dxfId="429" priority="451"/>
    <cfRule type="duplicateValues" dxfId="428" priority="452"/>
    <cfRule type="duplicateValues" dxfId="427" priority="453" stopIfTrue="1"/>
    <cfRule type="expression" dxfId="426" priority="454" stopIfTrue="1">
      <formula>#REF!="ABANDONO"</formula>
    </cfRule>
    <cfRule type="expression" dxfId="425" priority="455" stopIfTrue="1">
      <formula>#REF!="FINALIZADO"</formula>
    </cfRule>
    <cfRule type="expression" dxfId="424" priority="456" stopIfTrue="1">
      <formula>#REF!="EN PROCESO"</formula>
    </cfRule>
    <cfRule type="expression" dxfId="423" priority="457" stopIfTrue="1">
      <formula>#REF!="DESAPROBADO"</formula>
    </cfRule>
    <cfRule type="duplicateValues" dxfId="422" priority="458" stopIfTrue="1"/>
    <cfRule type="expression" dxfId="421" priority="459" stopIfTrue="1">
      <formula>AND(COUNTIF(#REF!, B289)+COUNTIF($B$1:$B$18, B289)&gt;1,NOT(ISBLANK(B289)))</formula>
    </cfRule>
  </conditionalFormatting>
  <conditionalFormatting sqref="B290">
    <cfRule type="duplicateValues" dxfId="420" priority="388"/>
    <cfRule type="duplicateValues" dxfId="419" priority="387"/>
    <cfRule type="duplicateValues" dxfId="418" priority="386"/>
    <cfRule type="duplicateValues" dxfId="417" priority="385"/>
    <cfRule type="duplicateValues" dxfId="416" priority="384"/>
    <cfRule type="duplicateValues" dxfId="415" priority="383"/>
    <cfRule type="duplicateValues" dxfId="414" priority="382" stopIfTrue="1"/>
    <cfRule type="duplicateValues" dxfId="413" priority="381" stopIfTrue="1"/>
    <cfRule type="duplicateValues" dxfId="412" priority="402" stopIfTrue="1"/>
    <cfRule type="duplicateValues" dxfId="411" priority="380" stopIfTrue="1"/>
    <cfRule type="duplicateValues" dxfId="410" priority="379" stopIfTrue="1"/>
    <cfRule type="duplicateValues" dxfId="409" priority="378" stopIfTrue="1"/>
    <cfRule type="duplicateValues" dxfId="408" priority="361"/>
    <cfRule type="duplicateValues" dxfId="407" priority="362"/>
    <cfRule type="duplicateValues" dxfId="406" priority="363"/>
    <cfRule type="expression" dxfId="405" priority="372" stopIfTrue="1">
      <formula>AND(COUNTIF($B$443:$B$65003, B290)+COUNTIF($B$1:$B$351, B290)&gt;1,NOT(ISBLANK(B290)))</formula>
    </cfRule>
    <cfRule type="duplicateValues" dxfId="404" priority="374"/>
    <cfRule type="duplicateValues" dxfId="403" priority="375"/>
    <cfRule type="duplicateValues" dxfId="402" priority="359"/>
    <cfRule type="duplicateValues" dxfId="401" priority="377" stopIfTrue="1"/>
    <cfRule type="duplicateValues" dxfId="400" priority="373"/>
    <cfRule type="duplicateValues" dxfId="399" priority="390" stopIfTrue="1"/>
    <cfRule type="duplicateValues" dxfId="398" priority="358"/>
    <cfRule type="duplicateValues" dxfId="397" priority="376"/>
    <cfRule type="duplicateValues" dxfId="396" priority="360"/>
    <cfRule type="expression" dxfId="395" priority="408" stopIfTrue="1">
      <formula>AND(COUNTIF(#REF!, B290)+COUNTIF($B$1:$B$18, B290)&gt;1,NOT(ISBLANK(B290)))</formula>
    </cfRule>
    <cfRule type="duplicateValues" dxfId="394" priority="407" stopIfTrue="1"/>
    <cfRule type="expression" dxfId="393" priority="406" stopIfTrue="1">
      <formula>#REF!="DESAPROBADO"</formula>
    </cfRule>
    <cfRule type="expression" dxfId="392" priority="405" stopIfTrue="1">
      <formula>#REF!="EN PROCESO"</formula>
    </cfRule>
    <cfRule type="expression" dxfId="391" priority="404" stopIfTrue="1">
      <formula>#REF!="FINALIZADO"</formula>
    </cfRule>
    <cfRule type="expression" dxfId="390" priority="403" stopIfTrue="1">
      <formula>#REF!="ABANDONO"</formula>
    </cfRule>
    <cfRule type="duplicateValues" dxfId="389" priority="401"/>
    <cfRule type="duplicateValues" dxfId="388" priority="400"/>
    <cfRule type="duplicateValues" dxfId="387" priority="399"/>
    <cfRule type="duplicateValues" dxfId="386" priority="391" stopIfTrue="1"/>
    <cfRule type="duplicateValues" dxfId="385" priority="398"/>
    <cfRule type="duplicateValues" dxfId="384" priority="397"/>
    <cfRule type="duplicateValues" dxfId="383" priority="396"/>
    <cfRule type="duplicateValues" dxfId="382" priority="395"/>
    <cfRule type="duplicateValues" dxfId="381" priority="394" stopIfTrue="1"/>
    <cfRule type="duplicateValues" dxfId="380" priority="393" stopIfTrue="1"/>
    <cfRule type="duplicateValues" dxfId="379" priority="392" stopIfTrue="1"/>
    <cfRule type="duplicateValues" dxfId="378" priority="389"/>
  </conditionalFormatting>
  <conditionalFormatting sqref="B291">
    <cfRule type="duplicateValues" dxfId="377" priority="338"/>
    <cfRule type="duplicateValues" dxfId="376" priority="337"/>
    <cfRule type="duplicateValues" dxfId="375" priority="335"/>
    <cfRule type="duplicateValues" dxfId="374" priority="334"/>
    <cfRule type="duplicateValues" dxfId="373" priority="333"/>
    <cfRule type="duplicateValues" dxfId="372" priority="332"/>
    <cfRule type="duplicateValues" dxfId="371" priority="331" stopIfTrue="1"/>
    <cfRule type="duplicateValues" dxfId="370" priority="330" stopIfTrue="1"/>
    <cfRule type="duplicateValues" dxfId="369" priority="329" stopIfTrue="1"/>
    <cfRule type="duplicateValues" dxfId="368" priority="328" stopIfTrue="1"/>
    <cfRule type="duplicateValues" dxfId="367" priority="327" stopIfTrue="1"/>
    <cfRule type="duplicateValues" dxfId="366" priority="324"/>
    <cfRule type="duplicateValues" dxfId="365" priority="323"/>
    <cfRule type="duplicateValues" dxfId="364" priority="322"/>
    <cfRule type="expression" dxfId="363" priority="321" stopIfTrue="1">
      <formula>AND(COUNTIF($B$441:$B$65001, B291)+COUNTIF($B$1:$B$349, B291)&gt;1,NOT(ISBLANK(B291)))</formula>
    </cfRule>
    <cfRule type="duplicateValues" dxfId="362" priority="312"/>
    <cfRule type="duplicateValues" dxfId="361" priority="311"/>
    <cfRule type="duplicateValues" dxfId="360" priority="310"/>
    <cfRule type="duplicateValues" dxfId="359" priority="309"/>
    <cfRule type="duplicateValues" dxfId="358" priority="308"/>
    <cfRule type="duplicateValues" dxfId="357" priority="307"/>
    <cfRule type="duplicateValues" dxfId="356" priority="350"/>
    <cfRule type="duplicateValues" dxfId="355" priority="349"/>
    <cfRule type="duplicateValues" dxfId="354" priority="346"/>
    <cfRule type="duplicateValues" dxfId="353" priority="347"/>
    <cfRule type="duplicateValues" dxfId="352" priority="348"/>
    <cfRule type="duplicateValues" dxfId="351" priority="325"/>
    <cfRule type="duplicateValues" dxfId="350" priority="351" stopIfTrue="1"/>
    <cfRule type="expression" dxfId="349" priority="352" stopIfTrue="1">
      <formula>#REF!="ABANDONO"</formula>
    </cfRule>
    <cfRule type="expression" dxfId="348" priority="353" stopIfTrue="1">
      <formula>#REF!="FINALIZADO"</formula>
    </cfRule>
    <cfRule type="expression" dxfId="347" priority="354" stopIfTrue="1">
      <formula>#REF!="EN PROCESO"</formula>
    </cfRule>
    <cfRule type="expression" dxfId="346" priority="355" stopIfTrue="1">
      <formula>#REF!="DESAPROBADO"</formula>
    </cfRule>
    <cfRule type="duplicateValues" dxfId="345" priority="336"/>
    <cfRule type="duplicateValues" dxfId="344" priority="356" stopIfTrue="1"/>
    <cfRule type="expression" dxfId="343" priority="357" stopIfTrue="1">
      <formula>AND(COUNTIF(#REF!, B291)+COUNTIF($B$1:$B$18, B291)&gt;1,NOT(ISBLANK(B291)))</formula>
    </cfRule>
    <cfRule type="duplicateValues" dxfId="342" priority="342" stopIfTrue="1"/>
    <cfRule type="duplicateValues" dxfId="341" priority="341" stopIfTrue="1"/>
    <cfRule type="duplicateValues" dxfId="340" priority="343" stopIfTrue="1"/>
    <cfRule type="duplicateValues" dxfId="339" priority="344"/>
    <cfRule type="duplicateValues" dxfId="338" priority="345"/>
    <cfRule type="duplicateValues" dxfId="337" priority="340" stopIfTrue="1"/>
    <cfRule type="duplicateValues" dxfId="336" priority="339" stopIfTrue="1"/>
    <cfRule type="duplicateValues" dxfId="335" priority="326" stopIfTrue="1"/>
  </conditionalFormatting>
  <conditionalFormatting sqref="B292">
    <cfRule type="duplicateValues" dxfId="334" priority="289" stopIfTrue="1"/>
    <cfRule type="duplicateValues" dxfId="333" priority="290" stopIfTrue="1"/>
    <cfRule type="duplicateValues" dxfId="332" priority="291" stopIfTrue="1"/>
    <cfRule type="duplicateValues" dxfId="331" priority="292" stopIfTrue="1"/>
    <cfRule type="duplicateValues" dxfId="330" priority="296"/>
    <cfRule type="duplicateValues" dxfId="329" priority="285"/>
    <cfRule type="duplicateValues" dxfId="328" priority="299"/>
    <cfRule type="duplicateValues" dxfId="327" priority="300" stopIfTrue="1"/>
    <cfRule type="expression" dxfId="326" priority="301" stopIfTrue="1">
      <formula>#REF!="ABANDONO"</formula>
    </cfRule>
    <cfRule type="expression" dxfId="325" priority="302" stopIfTrue="1">
      <formula>#REF!="FINALIZADO"</formula>
    </cfRule>
    <cfRule type="expression" dxfId="324" priority="303" stopIfTrue="1">
      <formula>#REF!="EN PROCESO"</formula>
    </cfRule>
    <cfRule type="expression" dxfId="323" priority="304" stopIfTrue="1">
      <formula>#REF!="DESAPROBADO"</formula>
    </cfRule>
    <cfRule type="duplicateValues" dxfId="322" priority="305" stopIfTrue="1"/>
    <cfRule type="expression" dxfId="321" priority="306" stopIfTrue="1">
      <formula>AND(COUNTIF(#REF!, B292)+COUNTIF($B$1:$B$18, B292)&gt;1,NOT(ISBLANK(B292)))</formula>
    </cfRule>
    <cfRule type="duplicateValues" dxfId="320" priority="276" stopIfTrue="1"/>
    <cfRule type="duplicateValues" dxfId="319" priority="277" stopIfTrue="1"/>
    <cfRule type="duplicateValues" dxfId="318" priority="278" stopIfTrue="1"/>
    <cfRule type="duplicateValues" dxfId="317" priority="279" stopIfTrue="1"/>
    <cfRule type="duplicateValues" dxfId="316" priority="280" stopIfTrue="1"/>
    <cfRule type="duplicateValues" dxfId="315" priority="281"/>
    <cfRule type="duplicateValues" dxfId="314" priority="282"/>
    <cfRule type="duplicateValues" dxfId="313" priority="283"/>
    <cfRule type="duplicateValues" dxfId="312" priority="284"/>
    <cfRule type="duplicateValues" dxfId="311" priority="286"/>
    <cfRule type="duplicateValues" dxfId="310" priority="287"/>
    <cfRule type="duplicateValues" dxfId="309" priority="293"/>
    <cfRule type="duplicateValues" dxfId="308" priority="294"/>
    <cfRule type="duplicateValues" dxfId="307" priority="288" stopIfTrue="1"/>
    <cfRule type="duplicateValues" dxfId="306" priority="295"/>
    <cfRule type="duplicateValues" dxfId="305" priority="297"/>
    <cfRule type="duplicateValues" dxfId="304" priority="298"/>
    <cfRule type="duplicateValues" dxfId="303" priority="275" stopIfTrue="1"/>
    <cfRule type="duplicateValues" dxfId="302" priority="274"/>
    <cfRule type="duplicateValues" dxfId="301" priority="273"/>
    <cfRule type="duplicateValues" dxfId="300" priority="272"/>
    <cfRule type="duplicateValues" dxfId="299" priority="271"/>
    <cfRule type="expression" dxfId="298" priority="270" stopIfTrue="1">
      <formula>AND(COUNTIF($B$440:$B$65000, B292)+COUNTIF($B$1:$B$348, B292)&gt;1,NOT(ISBLANK(B292)))</formula>
    </cfRule>
    <cfRule type="duplicateValues" dxfId="297" priority="261"/>
    <cfRule type="duplicateValues" dxfId="296" priority="260"/>
    <cfRule type="duplicateValues" dxfId="295" priority="259"/>
    <cfRule type="duplicateValues" dxfId="294" priority="258"/>
    <cfRule type="duplicateValues" dxfId="293" priority="257"/>
    <cfRule type="duplicateValues" dxfId="292" priority="256"/>
  </conditionalFormatting>
  <conditionalFormatting sqref="B293">
    <cfRule type="duplicateValues" dxfId="291" priority="209"/>
    <cfRule type="duplicateValues" dxfId="290" priority="210"/>
    <cfRule type="expression" dxfId="289" priority="219" stopIfTrue="1">
      <formula>AND(COUNTIF($B$439:$B$64999, B293)+COUNTIF($B$1:$B$347, B293)&gt;1,NOT(ISBLANK(B293)))</formula>
    </cfRule>
    <cfRule type="duplicateValues" dxfId="288" priority="220"/>
    <cfRule type="duplicateValues" dxfId="287" priority="221"/>
    <cfRule type="duplicateValues" dxfId="286" priority="222"/>
    <cfRule type="duplicateValues" dxfId="285" priority="223"/>
    <cfRule type="duplicateValues" dxfId="284" priority="224" stopIfTrue="1"/>
    <cfRule type="duplicateValues" dxfId="283" priority="225" stopIfTrue="1"/>
    <cfRule type="duplicateValues" dxfId="282" priority="226" stopIfTrue="1"/>
    <cfRule type="duplicateValues" dxfId="281" priority="227" stopIfTrue="1"/>
    <cfRule type="duplicateValues" dxfId="280" priority="228" stopIfTrue="1"/>
    <cfRule type="duplicateValues" dxfId="279" priority="229" stopIfTrue="1"/>
    <cfRule type="duplicateValues" dxfId="278" priority="230"/>
    <cfRule type="duplicateValues" dxfId="277" priority="231"/>
    <cfRule type="duplicateValues" dxfId="276" priority="232"/>
    <cfRule type="duplicateValues" dxfId="275" priority="208"/>
    <cfRule type="duplicateValues" dxfId="274" priority="233"/>
    <cfRule type="duplicateValues" dxfId="273" priority="234"/>
    <cfRule type="duplicateValues" dxfId="272" priority="235"/>
    <cfRule type="duplicateValues" dxfId="271" priority="236"/>
    <cfRule type="duplicateValues" dxfId="270" priority="237" stopIfTrue="1"/>
    <cfRule type="duplicateValues" dxfId="269" priority="245"/>
    <cfRule type="duplicateValues" dxfId="268" priority="238" stopIfTrue="1"/>
    <cfRule type="duplicateValues" dxfId="267" priority="239" stopIfTrue="1"/>
    <cfRule type="duplicateValues" dxfId="266" priority="240" stopIfTrue="1"/>
    <cfRule type="duplicateValues" dxfId="265" priority="241" stopIfTrue="1"/>
    <cfRule type="duplicateValues" dxfId="264" priority="242"/>
    <cfRule type="duplicateValues" dxfId="263" priority="205"/>
    <cfRule type="duplicateValues" dxfId="262" priority="206"/>
    <cfRule type="duplicateValues" dxfId="261" priority="207"/>
    <cfRule type="expression" dxfId="260" priority="255" stopIfTrue="1">
      <formula>AND(COUNTIF(#REF!, B293)+COUNTIF($B$1:$B$18, B293)&gt;1,NOT(ISBLANK(B293)))</formula>
    </cfRule>
    <cfRule type="duplicateValues" dxfId="259" priority="254" stopIfTrue="1"/>
    <cfRule type="expression" dxfId="258" priority="253" stopIfTrue="1">
      <formula>#REF!="DESAPROBADO"</formula>
    </cfRule>
    <cfRule type="expression" dxfId="257" priority="252" stopIfTrue="1">
      <formula>#REF!="EN PROCESO"</formula>
    </cfRule>
    <cfRule type="expression" dxfId="256" priority="251" stopIfTrue="1">
      <formula>#REF!="FINALIZADO"</formula>
    </cfRule>
    <cfRule type="expression" dxfId="255" priority="250" stopIfTrue="1">
      <formula>#REF!="ABANDONO"</formula>
    </cfRule>
    <cfRule type="duplicateValues" dxfId="254" priority="249" stopIfTrue="1"/>
    <cfRule type="duplicateValues" dxfId="253" priority="248"/>
    <cfRule type="duplicateValues" dxfId="252" priority="247"/>
    <cfRule type="duplicateValues" dxfId="251" priority="246"/>
    <cfRule type="duplicateValues" dxfId="250" priority="244"/>
    <cfRule type="duplicateValues" dxfId="249" priority="243"/>
  </conditionalFormatting>
  <conditionalFormatting sqref="B294">
    <cfRule type="duplicateValues" dxfId="248" priority="180"/>
    <cfRule type="duplicateValues" dxfId="247" priority="179"/>
    <cfRule type="duplicateValues" dxfId="246" priority="178" stopIfTrue="1"/>
    <cfRule type="duplicateValues" dxfId="245" priority="177" stopIfTrue="1"/>
    <cfRule type="duplicateValues" dxfId="244" priority="175" stopIfTrue="1"/>
    <cfRule type="duplicateValues" dxfId="243" priority="174" stopIfTrue="1"/>
    <cfRule type="duplicateValues" dxfId="242" priority="173" stopIfTrue="1"/>
    <cfRule type="duplicateValues" dxfId="241" priority="172"/>
    <cfRule type="duplicateValues" dxfId="240" priority="171"/>
    <cfRule type="duplicateValues" dxfId="239" priority="170"/>
    <cfRule type="duplicateValues" dxfId="238" priority="169"/>
    <cfRule type="expression" dxfId="237" priority="168" stopIfTrue="1">
      <formula>AND(COUNTIF($B$438:$B$64998, B294)+COUNTIF($B$1:$B$346, B294)&gt;1,NOT(ISBLANK(B294)))</formula>
    </cfRule>
    <cfRule type="duplicateValues" dxfId="236" priority="159"/>
    <cfRule type="duplicateValues" dxfId="235" priority="158"/>
    <cfRule type="duplicateValues" dxfId="234" priority="157"/>
    <cfRule type="duplicateValues" dxfId="233" priority="156"/>
    <cfRule type="duplicateValues" dxfId="232" priority="154"/>
    <cfRule type="duplicateValues" dxfId="231" priority="176" stopIfTrue="1"/>
    <cfRule type="duplicateValues" dxfId="230" priority="155"/>
    <cfRule type="expression" dxfId="229" priority="204" stopIfTrue="1">
      <formula>AND(COUNTIF(#REF!, B294)+COUNTIF($B$1:$B$18, B294)&gt;1,NOT(ISBLANK(B294)))</formula>
    </cfRule>
    <cfRule type="duplicateValues" dxfId="228" priority="203" stopIfTrue="1"/>
    <cfRule type="expression" dxfId="227" priority="202" stopIfTrue="1">
      <formula>#REF!="DESAPROBADO"</formula>
    </cfRule>
    <cfRule type="expression" dxfId="226" priority="201" stopIfTrue="1">
      <formula>#REF!="EN PROCESO"</formula>
    </cfRule>
    <cfRule type="expression" dxfId="225" priority="200" stopIfTrue="1">
      <formula>#REF!="FINALIZADO"</formula>
    </cfRule>
    <cfRule type="expression" dxfId="224" priority="199" stopIfTrue="1">
      <formula>#REF!="ABANDONO"</formula>
    </cfRule>
    <cfRule type="duplicateValues" dxfId="223" priority="198" stopIfTrue="1"/>
    <cfRule type="duplicateValues" dxfId="222" priority="197"/>
    <cfRule type="duplicateValues" dxfId="221" priority="196"/>
    <cfRule type="duplicateValues" dxfId="220" priority="195"/>
    <cfRule type="duplicateValues" dxfId="219" priority="194"/>
    <cfRule type="duplicateValues" dxfId="218" priority="193"/>
    <cfRule type="duplicateValues" dxfId="217" priority="192"/>
    <cfRule type="duplicateValues" dxfId="216" priority="191"/>
    <cfRule type="duplicateValues" dxfId="215" priority="190" stopIfTrue="1"/>
    <cfRule type="duplicateValues" dxfId="214" priority="189" stopIfTrue="1"/>
    <cfRule type="duplicateValues" dxfId="213" priority="188" stopIfTrue="1"/>
    <cfRule type="duplicateValues" dxfId="212" priority="187" stopIfTrue="1"/>
    <cfRule type="duplicateValues" dxfId="211" priority="186" stopIfTrue="1"/>
    <cfRule type="duplicateValues" dxfId="210" priority="185"/>
    <cfRule type="duplicateValues" dxfId="209" priority="184"/>
    <cfRule type="duplicateValues" dxfId="208" priority="183"/>
    <cfRule type="duplicateValues" dxfId="207" priority="182"/>
    <cfRule type="duplicateValues" dxfId="206" priority="181"/>
  </conditionalFormatting>
  <conditionalFormatting sqref="B295">
    <cfRule type="duplicateValues" dxfId="205" priority="119"/>
    <cfRule type="duplicateValues" dxfId="204" priority="118"/>
    <cfRule type="expression" dxfId="203" priority="117" stopIfTrue="1">
      <formula>AND(COUNTIF($B$437:$B$64997, B295)+COUNTIF($B$1:$B$345, B295)&gt;1,NOT(ISBLANK(B295)))</formula>
    </cfRule>
    <cfRule type="duplicateValues" dxfId="202" priority="108"/>
    <cfRule type="duplicateValues" dxfId="201" priority="107"/>
    <cfRule type="duplicateValues" dxfId="200" priority="106"/>
    <cfRule type="duplicateValues" dxfId="199" priority="105"/>
    <cfRule type="duplicateValues" dxfId="198" priority="104"/>
    <cfRule type="duplicateValues" dxfId="197" priority="152" stopIfTrue="1"/>
    <cfRule type="expression" dxfId="196" priority="151" stopIfTrue="1">
      <formula>#REF!="DESAPROBADO"</formula>
    </cfRule>
    <cfRule type="expression" dxfId="195" priority="150" stopIfTrue="1">
      <formula>#REF!="EN PROCESO"</formula>
    </cfRule>
    <cfRule type="expression" dxfId="194" priority="149" stopIfTrue="1">
      <formula>#REF!="FINALIZADO"</formula>
    </cfRule>
    <cfRule type="expression" dxfId="193" priority="148" stopIfTrue="1">
      <formula>#REF!="ABANDONO"</formula>
    </cfRule>
    <cfRule type="duplicateValues" dxfId="192" priority="147" stopIfTrue="1"/>
    <cfRule type="duplicateValues" dxfId="191" priority="146"/>
    <cfRule type="duplicateValues" dxfId="190" priority="145"/>
    <cfRule type="duplicateValues" dxfId="189" priority="144"/>
    <cfRule type="duplicateValues" dxfId="188" priority="143"/>
    <cfRule type="duplicateValues" dxfId="187" priority="142"/>
    <cfRule type="duplicateValues" dxfId="186" priority="141"/>
    <cfRule type="duplicateValues" dxfId="185" priority="140"/>
    <cfRule type="duplicateValues" dxfId="184" priority="139" stopIfTrue="1"/>
    <cfRule type="duplicateValues" dxfId="183" priority="138" stopIfTrue="1"/>
    <cfRule type="duplicateValues" dxfId="182" priority="137" stopIfTrue="1"/>
    <cfRule type="duplicateValues" dxfId="181" priority="136" stopIfTrue="1"/>
    <cfRule type="expression" dxfId="180" priority="153" stopIfTrue="1">
      <formula>AND(COUNTIF(#REF!, B295)+COUNTIF($B$1:$B$18, B295)&gt;1,NOT(ISBLANK(B295)))</formula>
    </cfRule>
    <cfRule type="duplicateValues" dxfId="179" priority="135" stopIfTrue="1"/>
    <cfRule type="duplicateValues" dxfId="178" priority="134"/>
    <cfRule type="duplicateValues" dxfId="177" priority="133"/>
    <cfRule type="duplicateValues" dxfId="176" priority="132"/>
    <cfRule type="duplicateValues" dxfId="175" priority="131"/>
    <cfRule type="duplicateValues" dxfId="174" priority="130"/>
    <cfRule type="duplicateValues" dxfId="173" priority="129"/>
    <cfRule type="duplicateValues" dxfId="172" priority="128"/>
    <cfRule type="duplicateValues" dxfId="171" priority="127" stopIfTrue="1"/>
    <cfRule type="duplicateValues" dxfId="170" priority="126" stopIfTrue="1"/>
    <cfRule type="duplicateValues" dxfId="169" priority="103"/>
    <cfRule type="duplicateValues" dxfId="168" priority="125" stopIfTrue="1"/>
    <cfRule type="duplicateValues" dxfId="167" priority="124" stopIfTrue="1"/>
    <cfRule type="duplicateValues" dxfId="166" priority="123" stopIfTrue="1"/>
    <cfRule type="duplicateValues" dxfId="165" priority="122" stopIfTrue="1"/>
    <cfRule type="duplicateValues" dxfId="164" priority="121"/>
    <cfRule type="duplicateValues" dxfId="163" priority="120"/>
  </conditionalFormatting>
  <conditionalFormatting sqref="B296">
    <cfRule type="duplicateValues" dxfId="162" priority="96" stopIfTrue="1"/>
    <cfRule type="expression" dxfId="161" priority="97" stopIfTrue="1">
      <formula>#REF!="ABANDONO"</formula>
    </cfRule>
    <cfRule type="expression" dxfId="160" priority="98" stopIfTrue="1">
      <formula>#REF!="FINALIZADO"</formula>
    </cfRule>
    <cfRule type="expression" dxfId="159" priority="99" stopIfTrue="1">
      <formula>#REF!="EN PROCESO"</formula>
    </cfRule>
    <cfRule type="expression" dxfId="158" priority="100" stopIfTrue="1">
      <formula>#REF!="DESAPROBADO"</formula>
    </cfRule>
    <cfRule type="duplicateValues" dxfId="157" priority="101" stopIfTrue="1"/>
    <cfRule type="expression" dxfId="156" priority="102" stopIfTrue="1">
      <formula>AND(COUNTIF(#REF!, B296)+COUNTIF($B$1:$B$18, B296)&gt;1,NOT(ISBLANK(B296)))</formula>
    </cfRule>
    <cfRule type="duplicateValues" dxfId="155" priority="69"/>
    <cfRule type="duplicateValues" dxfId="154" priority="52"/>
    <cfRule type="duplicateValues" dxfId="153" priority="53"/>
    <cfRule type="duplicateValues" dxfId="152" priority="54"/>
    <cfRule type="duplicateValues" dxfId="151" priority="55"/>
    <cfRule type="duplicateValues" dxfId="150" priority="56"/>
    <cfRule type="duplicateValues" dxfId="149" priority="57"/>
    <cfRule type="expression" dxfId="148" priority="66" stopIfTrue="1">
      <formula>AND(COUNTIF($B$436:$B$64996, B296)+COUNTIF($B$1:$B$344, B296)&gt;1,NOT(ISBLANK(B296)))</formula>
    </cfRule>
    <cfRule type="duplicateValues" dxfId="147" priority="67"/>
    <cfRule type="duplicateValues" dxfId="146" priority="68"/>
    <cfRule type="duplicateValues" dxfId="145" priority="94"/>
    <cfRule type="duplicateValues" dxfId="144" priority="70"/>
    <cfRule type="duplicateValues" dxfId="143" priority="71" stopIfTrue="1"/>
    <cfRule type="duplicateValues" dxfId="142" priority="72" stopIfTrue="1"/>
    <cfRule type="duplicateValues" dxfId="141" priority="73" stopIfTrue="1"/>
    <cfRule type="duplicateValues" dxfId="140" priority="74" stopIfTrue="1"/>
    <cfRule type="duplicateValues" dxfId="139" priority="75" stopIfTrue="1"/>
    <cfRule type="duplicateValues" dxfId="138" priority="76" stopIfTrue="1"/>
    <cfRule type="duplicateValues" dxfId="137" priority="77"/>
    <cfRule type="duplicateValues" dxfId="136" priority="78"/>
    <cfRule type="duplicateValues" dxfId="135" priority="79"/>
    <cfRule type="duplicateValues" dxfId="134" priority="80"/>
    <cfRule type="duplicateValues" dxfId="133" priority="81"/>
    <cfRule type="duplicateValues" dxfId="132" priority="82"/>
    <cfRule type="duplicateValues" dxfId="131" priority="83"/>
    <cfRule type="duplicateValues" dxfId="130" priority="84" stopIfTrue="1"/>
    <cfRule type="duplicateValues" dxfId="129" priority="85" stopIfTrue="1"/>
    <cfRule type="duplicateValues" dxfId="128" priority="86" stopIfTrue="1"/>
    <cfRule type="duplicateValues" dxfId="127" priority="87" stopIfTrue="1"/>
    <cfRule type="duplicateValues" dxfId="126" priority="88" stopIfTrue="1"/>
    <cfRule type="duplicateValues" dxfId="125" priority="89"/>
    <cfRule type="duplicateValues" dxfId="124" priority="90"/>
    <cfRule type="duplicateValues" dxfId="123" priority="91"/>
    <cfRule type="duplicateValues" dxfId="122" priority="92"/>
    <cfRule type="duplicateValues" dxfId="121" priority="93"/>
    <cfRule type="duplicateValues" dxfId="120" priority="95"/>
  </conditionalFormatting>
  <conditionalFormatting sqref="B297">
    <cfRule type="duplicateValues" dxfId="119" priority="21" stopIfTrue="1"/>
    <cfRule type="duplicateValues" dxfId="118" priority="20" stopIfTrue="1"/>
    <cfRule type="duplicateValues" dxfId="117" priority="19"/>
    <cfRule type="duplicateValues" dxfId="116" priority="18"/>
    <cfRule type="duplicateValues" dxfId="115" priority="17"/>
    <cfRule type="duplicateValues" dxfId="114" priority="16"/>
    <cfRule type="expression" dxfId="113" priority="15" stopIfTrue="1">
      <formula>AND(COUNTIF($B$436:$B$64996, B297)+COUNTIF($B$1:$B$344, B297)&gt;1,NOT(ISBLANK(B297)))</formula>
    </cfRule>
    <cfRule type="expression" dxfId="112" priority="51" stopIfTrue="1">
      <formula>AND(COUNTIF(#REF!, B297)+COUNTIF($B$1:$B$18, B297)&gt;1,NOT(ISBLANK(B297)))</formula>
    </cfRule>
    <cfRule type="expression" dxfId="111" priority="49" stopIfTrue="1">
      <formula>#REF!="DESAPROBADO"</formula>
    </cfRule>
    <cfRule type="expression" dxfId="110" priority="46" stopIfTrue="1">
      <formula>#REF!="ABANDONO"</formula>
    </cfRule>
    <cfRule type="expression" dxfId="109" priority="47" stopIfTrue="1">
      <formula>#REF!="FINALIZADO"</formula>
    </cfRule>
    <cfRule type="duplicateValues" dxfId="108" priority="35" stopIfTrue="1"/>
    <cfRule type="duplicateValues" dxfId="107" priority="44"/>
    <cfRule type="duplicateValues" dxfId="106" priority="43"/>
    <cfRule type="duplicateValues" dxfId="105" priority="42"/>
    <cfRule type="duplicateValues" dxfId="104" priority="6"/>
    <cfRule type="duplicateValues" dxfId="103" priority="5"/>
    <cfRule type="duplicateValues" dxfId="102" priority="4"/>
    <cfRule type="duplicateValues" dxfId="101" priority="3"/>
    <cfRule type="duplicateValues" dxfId="100" priority="2"/>
    <cfRule type="duplicateValues" dxfId="99" priority="41"/>
    <cfRule type="duplicateValues" dxfId="98" priority="40"/>
    <cfRule type="duplicateValues" dxfId="97" priority="39"/>
    <cfRule type="duplicateValues" dxfId="96" priority="38"/>
    <cfRule type="duplicateValues" dxfId="95" priority="37" stopIfTrue="1"/>
    <cfRule type="duplicateValues" dxfId="94" priority="36" stopIfTrue="1"/>
    <cfRule type="duplicateValues" dxfId="93" priority="34" stopIfTrue="1"/>
    <cfRule type="duplicateValues" dxfId="92" priority="33" stopIfTrue="1"/>
    <cfRule type="duplicateValues" dxfId="91" priority="32"/>
    <cfRule type="duplicateValues" dxfId="90" priority="31"/>
    <cfRule type="duplicateValues" dxfId="89" priority="30"/>
    <cfRule type="duplicateValues" dxfId="88" priority="29"/>
    <cfRule type="duplicateValues" dxfId="87" priority="45" stopIfTrue="1"/>
    <cfRule type="duplicateValues" dxfId="86" priority="28"/>
    <cfRule type="duplicateValues" dxfId="85" priority="1"/>
    <cfRule type="duplicateValues" dxfId="84" priority="27"/>
    <cfRule type="duplicateValues" dxfId="83" priority="26"/>
    <cfRule type="duplicateValues" dxfId="82" priority="25" stopIfTrue="1"/>
    <cfRule type="duplicateValues" dxfId="81" priority="24" stopIfTrue="1"/>
    <cfRule type="expression" dxfId="80" priority="48" stopIfTrue="1">
      <formula>#REF!="EN PROCESO"</formula>
    </cfRule>
    <cfRule type="duplicateValues" dxfId="79" priority="23" stopIfTrue="1"/>
    <cfRule type="duplicateValues" dxfId="78" priority="22" stopIfTrue="1"/>
    <cfRule type="duplicateValues" dxfId="77" priority="50" stopIfTrue="1"/>
  </conditionalFormatting>
  <conditionalFormatting sqref="B3:F3 H3 D64:F72">
    <cfRule type="expression" dxfId="76" priority="1743" stopIfTrue="1">
      <formula>#REF!="ABANDONO"</formula>
    </cfRule>
    <cfRule type="expression" dxfId="75" priority="1744" stopIfTrue="1">
      <formula>#REF!="FINALIZADO"</formula>
    </cfRule>
    <cfRule type="expression" dxfId="74" priority="1745" stopIfTrue="1">
      <formula>#REF!="EN PROCESO"</formula>
    </cfRule>
    <cfRule type="expression" dxfId="73" priority="1746" stopIfTrue="1">
      <formula>#REF!="DESAPROBADO"</formula>
    </cfRule>
  </conditionalFormatting>
  <conditionalFormatting sqref="C65:C66">
    <cfRule type="expression" dxfId="72" priority="1677" stopIfTrue="1">
      <formula>#REF!="DESAPROBADO"</formula>
    </cfRule>
    <cfRule type="expression" dxfId="71" priority="1676" stopIfTrue="1">
      <formula>#REF!="EN PROCESO"</formula>
    </cfRule>
    <cfRule type="expression" dxfId="70" priority="1674" stopIfTrue="1">
      <formula>#REF!="ABANDONO"</formula>
    </cfRule>
    <cfRule type="expression" dxfId="69" priority="1675" stopIfTrue="1">
      <formula>#REF!="FINALIZADO"</formula>
    </cfRule>
  </conditionalFormatting>
  <conditionalFormatting sqref="C257:C260 F257:F260 C264:F280">
    <cfRule type="expression" dxfId="68" priority="1638" stopIfTrue="1">
      <formula>#REF!="ABANDONO"</formula>
    </cfRule>
  </conditionalFormatting>
  <conditionalFormatting sqref="C263 E263:F263">
    <cfRule type="expression" dxfId="67" priority="1622" stopIfTrue="1">
      <formula>#REF!="ABANDONO"</formula>
    </cfRule>
  </conditionalFormatting>
  <conditionalFormatting sqref="C262:E262 C263:F280">
    <cfRule type="expression" dxfId="66" priority="1624" stopIfTrue="1">
      <formula>#REF!="EN PROCESO"</formula>
    </cfRule>
    <cfRule type="expression" dxfId="65" priority="1625" stopIfTrue="1">
      <formula>#REF!="DESAPROBADO"</formula>
    </cfRule>
  </conditionalFormatting>
  <conditionalFormatting sqref="C256:F260">
    <cfRule type="expression" dxfId="64" priority="1637" stopIfTrue="1">
      <formula>#REF!="DESAPROBADO"</formula>
    </cfRule>
    <cfRule type="expression" dxfId="63" priority="1636" stopIfTrue="1">
      <formula>#REF!="EN PROCESO"</formula>
    </cfRule>
    <cfRule type="expression" dxfId="62" priority="1635" stopIfTrue="1">
      <formula>#REF!="FINALIZADO"</formula>
    </cfRule>
  </conditionalFormatting>
  <conditionalFormatting sqref="C261:F261">
    <cfRule type="expression" dxfId="61" priority="1630" stopIfTrue="1">
      <formula>#REF!="FINALIZADO"</formula>
    </cfRule>
    <cfRule type="expression" dxfId="60" priority="1633" stopIfTrue="1">
      <formula>#REF!="ABANDONO"</formula>
    </cfRule>
    <cfRule type="expression" dxfId="59" priority="1632" stopIfTrue="1">
      <formula>#REF!="DESAPROBADO"</formula>
    </cfRule>
    <cfRule type="expression" dxfId="58" priority="1631" stopIfTrue="1">
      <formula>#REF!="EN PROCESO"</formula>
    </cfRule>
  </conditionalFormatting>
  <conditionalFormatting sqref="C263:F280 C262:E262">
    <cfRule type="expression" dxfId="57" priority="1623" stopIfTrue="1">
      <formula>#REF!="FINALIZADO"</formula>
    </cfRule>
  </conditionalFormatting>
  <conditionalFormatting sqref="C73:G141 I73:I141 C143:G255 I143:I255">
    <cfRule type="expression" dxfId="56" priority="1650" stopIfTrue="1">
      <formula>#REF!="FINALIZADO"</formula>
    </cfRule>
    <cfRule type="expression" dxfId="55" priority="1651" stopIfTrue="1">
      <formula>#REF!="EN PROCESO"</formula>
    </cfRule>
    <cfRule type="expression" dxfId="54" priority="1652" stopIfTrue="1">
      <formula>#REF!="DESAPROBADO"</formula>
    </cfRule>
  </conditionalFormatting>
  <conditionalFormatting sqref="C73:G141 I73:I141 C143:G255">
    <cfRule type="expression" dxfId="53" priority="1649" stopIfTrue="1">
      <formula>#REF!="ABANDONO"</formula>
    </cfRule>
  </conditionalFormatting>
  <conditionalFormatting sqref="D256:E260">
    <cfRule type="expression" dxfId="52" priority="1634" stopIfTrue="1">
      <formula>#REF!="ABANDONO"</formula>
    </cfRule>
  </conditionalFormatting>
  <conditionalFormatting sqref="D262:E263">
    <cfRule type="expression" dxfId="51" priority="1618" stopIfTrue="1">
      <formula>#REF!="ABANDONO"</formula>
    </cfRule>
  </conditionalFormatting>
  <conditionalFormatting sqref="E262:F262 C262">
    <cfRule type="expression" dxfId="50" priority="1629" stopIfTrue="1">
      <formula>#REF!="ABANDONO"</formula>
    </cfRule>
  </conditionalFormatting>
  <conditionalFormatting sqref="E262:F262">
    <cfRule type="expression" dxfId="49" priority="1628" stopIfTrue="1">
      <formula>#REF!="DESAPROBADO"</formula>
    </cfRule>
    <cfRule type="expression" dxfId="48" priority="1627" stopIfTrue="1">
      <formula>#REF!="EN PROCESO"</formula>
    </cfRule>
    <cfRule type="expression" dxfId="47" priority="1626" stopIfTrue="1">
      <formula>#REF!="FINALIZADO"</formula>
    </cfRule>
  </conditionalFormatting>
  <conditionalFormatting sqref="H64:H72">
    <cfRule type="expression" dxfId="46" priority="1670" stopIfTrue="1">
      <formula>#REF!="ABANDONO"</formula>
    </cfRule>
    <cfRule type="expression" dxfId="45" priority="1671" stopIfTrue="1">
      <formula>#REF!="FINALIZADO"</formula>
    </cfRule>
    <cfRule type="expression" dxfId="44" priority="1673" stopIfTrue="1">
      <formula>#REF!="DESAPROBADO"</formula>
    </cfRule>
    <cfRule type="expression" dxfId="43" priority="1672" stopIfTrue="1">
      <formula>#REF!="EN PROCESO"</formula>
    </cfRule>
  </conditionalFormatting>
  <conditionalFormatting sqref="H257:H297 C281:F297">
    <cfRule type="expression" dxfId="42" priority="9" stopIfTrue="1">
      <formula>#REF!="DESAPROBADO"</formula>
    </cfRule>
    <cfRule type="expression" dxfId="41" priority="7" stopIfTrue="1">
      <formula>#REF!="FINALIZADO"</formula>
    </cfRule>
    <cfRule type="expression" dxfId="40" priority="14" stopIfTrue="1">
      <formula>#REF!="ABANDONO"</formula>
    </cfRule>
    <cfRule type="expression" dxfId="39" priority="8" stopIfTrue="1">
      <formula>#REF!="EN PROCESO"</formula>
    </cfRule>
  </conditionalFormatting>
  <conditionalFormatting sqref="I143:I256 C256:F256">
    <cfRule type="expression" dxfId="38" priority="1643" stopIfTrue="1">
      <formula>#REF!="ABANDONO"</formula>
    </cfRule>
  </conditionalFormatting>
  <conditionalFormatting sqref="I256">
    <cfRule type="expression" dxfId="37" priority="1640" stopIfTrue="1">
      <formula>#REF!="FINALIZADO"</formula>
    </cfRule>
    <cfRule type="expression" dxfId="36" priority="1641" stopIfTrue="1">
      <formula>#REF!="EN PROCESO"</formula>
    </cfRule>
    <cfRule type="expression" dxfId="35" priority="1642" stopIfTrue="1">
      <formula>#REF!="DESAPROBADO"</formula>
    </cfRule>
  </conditionalFormatting>
  <conditionalFormatting sqref="J113">
    <cfRule type="expression" dxfId="34" priority="1656" stopIfTrue="1">
      <formula>#REF!="DESAPROBADO"</formula>
    </cfRule>
    <cfRule type="expression" dxfId="33" priority="1655" stopIfTrue="1">
      <formula>#REF!="EN PROCESO"</formula>
    </cfRule>
    <cfRule type="expression" dxfId="32" priority="1654" stopIfTrue="1">
      <formula>#REF!="FINALIZADO"</formula>
    </cfRule>
    <cfRule type="expression" dxfId="31" priority="1653" stopIfTrue="1">
      <formula>#REF!="ABANDONO"</formula>
    </cfRule>
  </conditionalFormatting>
  <conditionalFormatting sqref="J115">
    <cfRule type="expression" dxfId="30" priority="1663" stopIfTrue="1">
      <formula>#REF!="EN PROCESO"</formula>
    </cfRule>
    <cfRule type="expression" dxfId="29" priority="1662" stopIfTrue="1">
      <formula>#REF!="FINALIZADO"</formula>
    </cfRule>
    <cfRule type="expression" dxfId="28" priority="1661" stopIfTrue="1">
      <formula>#REF!="ABANDONO"</formula>
    </cfRule>
    <cfRule type="expression" dxfId="27" priority="1664" stopIfTrue="1">
      <formula>#REF!="DESAPROBADO"</formula>
    </cfRule>
  </conditionalFormatting>
  <conditionalFormatting sqref="J127:J128">
    <cfRule type="expression" dxfId="26" priority="1667" stopIfTrue="1">
      <formula>#REF!="FINALIZADO"</formula>
    </cfRule>
    <cfRule type="expression" dxfId="25" priority="1669" stopIfTrue="1">
      <formula>#REF!="DESAPROBADO"</formula>
    </cfRule>
    <cfRule type="expression" dxfId="24" priority="1668" stopIfTrue="1">
      <formula>#REF!="EN PROCESO"</formula>
    </cfRule>
    <cfRule type="expression" dxfId="23" priority="1666" stopIfTrue="1">
      <formula>#REF!="ABANDONO"</formula>
    </cfRule>
  </conditionalFormatting>
  <conditionalFormatting sqref="J88:K88">
    <cfRule type="expression" dxfId="22" priority="1647" stopIfTrue="1">
      <formula>#REF!="DESAPROBADO"</formula>
    </cfRule>
    <cfRule type="expression" dxfId="21" priority="1646" stopIfTrue="1">
      <formula>#REF!="EN PROCESO"</formula>
    </cfRule>
    <cfRule type="expression" dxfId="20" priority="1645" stopIfTrue="1">
      <formula>#REF!="FINALIZADO"</formula>
    </cfRule>
    <cfRule type="expression" dxfId="19" priority="1644" stopIfTrue="1">
      <formula>#REF!="ABANDONO"</formula>
    </cfRule>
  </conditionalFormatting>
  <conditionalFormatting sqref="J228:K228">
    <cfRule type="expression" dxfId="18" priority="1660" stopIfTrue="1">
      <formula>#REF!="DESAPROBADO"</formula>
    </cfRule>
    <cfRule type="expression" dxfId="17" priority="1659" stopIfTrue="1">
      <formula>#REF!="EN PROCESO"</formula>
    </cfRule>
    <cfRule type="expression" dxfId="16" priority="1658" stopIfTrue="1">
      <formula>#REF!="FINALIZADO"</formula>
    </cfRule>
    <cfRule type="expression" dxfId="15" priority="1657" stopIfTrue="1">
      <formula>#REF!="ABANDONO"</formula>
    </cfRule>
  </conditionalFormatting>
  <conditionalFormatting sqref="M3">
    <cfRule type="expression" dxfId="14" priority="1711" stopIfTrue="1">
      <formula>#REF!="EN PROCESO"</formula>
    </cfRule>
    <cfRule type="expression" dxfId="13" priority="1710" stopIfTrue="1">
      <formula>#REF!="FINALIZADO"</formula>
    </cfRule>
    <cfRule type="expression" dxfId="12" priority="1709" stopIfTrue="1">
      <formula>#REF!="ABANDONO"</formula>
    </cfRule>
    <cfRule type="expression" dxfId="11" priority="1712" stopIfTrue="1">
      <formula>#REF!="DESAPROBADO"</formula>
    </cfRule>
  </conditionalFormatting>
  <conditionalFormatting sqref="O3">
    <cfRule type="expression" dxfId="10" priority="1742" stopIfTrue="1">
      <formula>$Q3="DESAPROBADO"</formula>
    </cfRule>
    <cfRule type="expression" dxfId="9" priority="1740" stopIfTrue="1">
      <formula>$Q3="FINALIZADO"</formula>
    </cfRule>
    <cfRule type="expression" dxfId="8" priority="1741" stopIfTrue="1">
      <formula>$Q3="EN PROCESO"</formula>
    </cfRule>
    <cfRule type="expression" dxfId="7" priority="1739" stopIfTrue="1">
      <formula>$Q3="ABANDONO"</formula>
    </cfRule>
  </conditionalFormatting>
  <conditionalFormatting sqref="P264:P297 AI264:AI297">
    <cfRule type="expression" dxfId="6" priority="10" stopIfTrue="1">
      <formula>#REF!="ABANDONO"</formula>
    </cfRule>
    <cfRule type="expression" dxfId="5" priority="11" stopIfTrue="1">
      <formula>#REF!="FINALIZADO"</formula>
    </cfRule>
    <cfRule type="expression" dxfId="4" priority="12" stopIfTrue="1">
      <formula>#REF!="EN PROCESO"</formula>
    </cfRule>
    <cfRule type="expression" dxfId="3" priority="13" stopIfTrue="1">
      <formula>#REF!="DESAPROBADO"</formula>
    </cfRule>
  </conditionalFormatting>
  <conditionalFormatting sqref="AC258">
    <cfRule type="containsText" dxfId="2" priority="1639" stopIfTrue="1" operator="containsText" text="BAJA">
      <formula>NOT(ISERROR(SEARCH("BAJA",AC258)))</formula>
    </cfRule>
  </conditionalFormatting>
  <conditionalFormatting sqref="AE79:AE239 AB117 AB225 AB232:AB255">
    <cfRule type="containsText" dxfId="1" priority="1665" stopIfTrue="1" operator="containsText" text="BAJA">
      <formula>NOT(ISERROR(SEARCH("BAJA",AB79)))</formula>
    </cfRule>
  </conditionalFormatting>
  <conditionalFormatting sqref="AE241:AE255">
    <cfRule type="containsText" dxfId="0" priority="1648" stopIfTrue="1" operator="containsText" text="BAJA">
      <formula>NOT(ISERROR(SEARCH("BAJA",AE241)))</formula>
    </cfRule>
  </conditionalFormatting>
  <hyperlinks>
    <hyperlink ref="D64" r:id="rId1" xr:uid="{8E31E4C4-706F-4DB7-9220-0AE788C57843}"/>
    <hyperlink ref="D65" r:id="rId2" xr:uid="{CBC98DCD-931D-47AE-A720-DBFAC50AEF0B}"/>
    <hyperlink ref="D66" r:id="rId3" xr:uid="{019F961C-66A0-4DDE-B097-80DBD61DC0B5}"/>
    <hyperlink ref="D67" r:id="rId4" xr:uid="{88A2A9AD-F2A7-4347-BC1A-4E65801DFBEB}"/>
    <hyperlink ref="D68" r:id="rId5" xr:uid="{683C5D2D-2E42-4455-9399-FF3E2C712366}"/>
    <hyperlink ref="D69" r:id="rId6" xr:uid="{1D336470-D1EE-45ED-A817-0893A50FE3CE}"/>
    <hyperlink ref="D71" r:id="rId7" xr:uid="{5DC887C7-C2EA-4B6B-A9D2-63EF4DC79913}"/>
    <hyperlink ref="D72" r:id="rId8" xr:uid="{87EB2E5C-6710-4CF3-BEB9-8D3D7E749168}"/>
    <hyperlink ref="D75" r:id="rId9" xr:uid="{7D9DC1A0-8690-4950-A7C7-38B079B12A3C}"/>
    <hyperlink ref="D76" r:id="rId10" xr:uid="{50605C0A-BD48-4760-99D3-CEB07D52F58B}"/>
    <hyperlink ref="D77" r:id="rId11" xr:uid="{B09321B2-883B-4062-B8DE-C322291FB6B1}"/>
    <hyperlink ref="D78" r:id="rId12" xr:uid="{4A8F1F29-7888-4EA5-8D04-FA55DD8C9FF8}"/>
    <hyperlink ref="D109" r:id="rId13" xr:uid="{E60F008E-F123-4B04-98F1-D74AA6BE5A94}"/>
    <hyperlink ref="D85" r:id="rId14" xr:uid="{E0088E10-0F16-449A-BBBD-F8096B85465A}"/>
    <hyperlink ref="D87" r:id="rId15" xr:uid="{32105A36-9D61-49C8-940C-ADF5A5474167}"/>
    <hyperlink ref="D92" r:id="rId16" xr:uid="{239905E6-3363-4301-852E-7AA8050FDFA4}"/>
    <hyperlink ref="D110" r:id="rId17" xr:uid="{17665447-02A5-41CD-8370-363E935D593F}"/>
    <hyperlink ref="D102" r:id="rId18" xr:uid="{B5E6DB5C-2180-4992-9801-E0C19ECDEEEE}"/>
    <hyperlink ref="D138" r:id="rId19" xr:uid="{EFBB35A2-1FFA-42F6-A4B9-250F6A798E1A}"/>
    <hyperlink ref="D186" r:id="rId20" xr:uid="{684B10C6-B350-42B7-B48C-FB956FC25303}"/>
    <hyperlink ref="D213" r:id="rId21" xr:uid="{3841DFDC-D1BD-4D59-B257-D4239EEE02DC}"/>
    <hyperlink ref="D215" r:id="rId22" xr:uid="{0AE12D15-1927-467E-AAE8-0B7AE8C51D16}"/>
    <hyperlink ref="D234" r:id="rId23" xr:uid="{C97EF82E-7CA3-44EA-BC5A-D148099E6F27}"/>
    <hyperlink ref="D106" r:id="rId24" xr:uid="{E535F856-E03E-494C-92D7-56BE6D13C585}"/>
    <hyperlink ref="D202" r:id="rId25" xr:uid="{5FC3416A-7C68-4801-8ED6-724E5A0323F3}"/>
    <hyperlink ref="D168" r:id="rId26" xr:uid="{C39FF739-E579-4D0D-919C-EC4F4EE6ED04}"/>
    <hyperlink ref="D135" r:id="rId27" xr:uid="{DA6A5B1D-45D5-4D4E-AB8D-FC8A6A702979}"/>
    <hyperlink ref="D112" r:id="rId28" xr:uid="{760CA22A-CB64-451D-A120-4E2609EB1C4E}"/>
    <hyperlink ref="D133" r:id="rId29" xr:uid="{300E5FA2-C616-4E62-97B7-2BB9161834EF}"/>
    <hyperlink ref="D146" r:id="rId30" xr:uid="{A5805B89-53D4-4D66-9227-B8669749B7BF}"/>
    <hyperlink ref="D155" r:id="rId31" xr:uid="{C3A0CFCB-233A-4EC2-8AFE-7498620028F7}"/>
    <hyperlink ref="D176" r:id="rId32" xr:uid="{56B1F4B8-AD00-485A-A489-7108F0675F2C}"/>
    <hyperlink ref="D165" r:id="rId33" xr:uid="{9D6E7FC7-24CE-4626-A989-06969FCB01AD}"/>
    <hyperlink ref="D143" r:id="rId34" xr:uid="{4136E708-D160-4959-A80B-F70888B5DAEC}"/>
    <hyperlink ref="D190" r:id="rId35" xr:uid="{79134E67-A526-4A94-9EA1-1B4366BAD982}"/>
    <hyperlink ref="D120" r:id="rId36" xr:uid="{7DB3518A-01DF-4AE9-9C98-0E21C6760B76}"/>
    <hyperlink ref="D121" r:id="rId37" xr:uid="{CE871A29-DC5C-40A2-92D2-9C3F065D4EE1}"/>
    <hyperlink ref="D126" r:id="rId38" xr:uid="{E456342C-2695-47C3-A867-3C36F819FBFB}"/>
    <hyperlink ref="D131" r:id="rId39" xr:uid="{9E264853-D7A4-4374-9F76-D30A04CCD432}"/>
    <hyperlink ref="D134" r:id="rId40" xr:uid="{D2C191E0-F5E1-44A2-ADCE-77A4647CFF86}"/>
    <hyperlink ref="D136" r:id="rId41" xr:uid="{3753F780-5EB0-40B0-A626-A7B4EA3374F1}"/>
    <hyperlink ref="D145" r:id="rId42" xr:uid="{5059891B-B2D8-48B6-A57A-F8CCC8C0046A}"/>
    <hyperlink ref="D152" r:id="rId43" xr:uid="{2298CE5E-4D47-49BF-B883-EAB08AB7FDD4}"/>
    <hyperlink ref="D157" r:id="rId44" xr:uid="{F43176F4-A973-4413-8687-33712DCBD19A}"/>
    <hyperlink ref="D158" r:id="rId45" xr:uid="{E003C93F-DF04-4201-B369-1A63E86D5BDF}"/>
    <hyperlink ref="D163" r:id="rId46" xr:uid="{4ED39822-BF02-47CB-A919-0F7CEBBC0238}"/>
    <hyperlink ref="D172" r:id="rId47" xr:uid="{3DCF0AE6-BDC9-4C52-A82E-0C2D3955FD15}"/>
    <hyperlink ref="D183" r:id="rId48" xr:uid="{83F8417E-A233-406D-A493-B0FCBCCC2657}"/>
    <hyperlink ref="D185" r:id="rId49" xr:uid="{A4DD810A-0D65-4F87-AF82-838A34562A7F}"/>
    <hyperlink ref="D192" r:id="rId50" xr:uid="{5E39FAEC-56D2-45BB-9CDB-6F81A99602F0}"/>
    <hyperlink ref="D200" r:id="rId51" xr:uid="{B6C5F894-6EE4-46BD-9CAC-52AECADF18A1}"/>
    <hyperlink ref="D203" r:id="rId52" xr:uid="{7C9CD0BD-B716-479E-A536-670288CA0BA9}"/>
    <hyperlink ref="D219" r:id="rId53" xr:uid="{DE8F1DD4-189D-487B-845F-3C1CEEEE9C48}"/>
    <hyperlink ref="D226" r:id="rId54" xr:uid="{075EFE36-7497-4FBC-B275-7C83370657A8}"/>
    <hyperlink ref="D232" r:id="rId55" xr:uid="{32D5F364-6985-4A30-949B-58CCBD07BE16}"/>
    <hyperlink ref="D167" r:id="rId56" xr:uid="{5800E85E-192D-4C33-805C-D2BB443D4627}"/>
    <hyperlink ref="D164" r:id="rId57" xr:uid="{49D3C0A6-58B8-46CC-8CCC-E7B8B79A8E07}"/>
    <hyperlink ref="D169" r:id="rId58" xr:uid="{EE1D1326-D10C-450D-83E0-78A99BB0745D}"/>
    <hyperlink ref="D189" r:id="rId59" xr:uid="{8B410D40-DD03-42B2-8271-9CDDFED49568}"/>
    <hyperlink ref="D199" r:id="rId60" xr:uid="{37F170A9-0B97-4455-B467-C7E4E355E3CD}"/>
    <hyperlink ref="D204" r:id="rId61" xr:uid="{2721758A-9956-449D-A3D2-C53BDFD30F15}"/>
    <hyperlink ref="D210" r:id="rId62" xr:uid="{3C9D5F1B-1558-4104-8D2F-FE5CE7F17BE7}"/>
    <hyperlink ref="D211" r:id="rId63" xr:uid="{5C525256-941C-4B36-BAC5-BE99629CAD5C}"/>
    <hyperlink ref="D212" r:id="rId64" xr:uid="{4235A72C-1008-466B-BE9B-59294B569C4D}"/>
    <hyperlink ref="D214" r:id="rId65" xr:uid="{42B2FB4F-6E78-4182-8877-4CB9E1E280FC}"/>
    <hyperlink ref="D221" r:id="rId66" xr:uid="{9A1F5546-0278-406A-BC96-43A2C0DB689A}"/>
    <hyperlink ref="D225" r:id="rId67" xr:uid="{C36DBCEC-AD31-43A1-8E8B-4C24F630D11E}"/>
    <hyperlink ref="D227" r:id="rId68" xr:uid="{07BF4941-9A01-478F-9C08-3FDE92EE240C}"/>
    <hyperlink ref="D229" r:id="rId69" xr:uid="{FEB47536-BF91-4402-946B-ADF45612D1B6}"/>
    <hyperlink ref="D188" r:id="rId70" xr:uid="{3DA8C41B-58B2-45C7-A5D6-D76C104A97D4}"/>
    <hyperlink ref="D197" r:id="rId71" xr:uid="{2A8F5BDF-7D46-4F30-8376-D0D60FB9301D}"/>
    <hyperlink ref="D180" r:id="rId72" xr:uid="{2D2F9E5C-CBE8-426B-9D98-C4ED8F8A5134}"/>
    <hyperlink ref="D179" r:id="rId73" xr:uid="{88C14472-A729-479F-A84A-25A10684EAB1}"/>
    <hyperlink ref="D181" r:id="rId74" xr:uid="{69F5CBB1-63E4-47F4-8DA3-EBE12C417E03}"/>
    <hyperlink ref="D98" r:id="rId75" xr:uid="{83D2761A-DC12-491C-950B-DF89AFC06EE3}"/>
    <hyperlink ref="D198" r:id="rId76" xr:uid="{2EFB1BAE-0762-463C-9A74-05B07E92C86D}"/>
    <hyperlink ref="D117" r:id="rId77" xr:uid="{AE5EB377-AE5A-4ECF-814E-B7C69FB3D1D2}"/>
    <hyperlink ref="D222" r:id="rId78" xr:uid="{28FF6928-FBE7-4DD6-8810-E06BB7FAEB79}"/>
    <hyperlink ref="D231" r:id="rId79" xr:uid="{39BF4153-2CB5-4726-AB47-D6D1192A3607}"/>
    <hyperlink ref="D101" r:id="rId80" xr:uid="{4FCC0A91-4E31-4037-96D1-83F697BF09A9}"/>
    <hyperlink ref="D173" r:id="rId81" xr:uid="{8AFF4B38-DCDA-443F-A214-4012C32F4DB3}"/>
    <hyperlink ref="D91" r:id="rId82" xr:uid="{0FDF45CC-D23C-444B-B60C-0E7035EC747A}"/>
    <hyperlink ref="D223" r:id="rId83" xr:uid="{B27F5BFB-6C23-49A9-9918-707EED6E7DD8}"/>
    <hyperlink ref="D170" r:id="rId84" xr:uid="{CC106BF7-0621-492B-8EA7-0726D45ED9C9}"/>
    <hyperlink ref="D86" r:id="rId85" xr:uid="{5F0F3B44-F7DD-47D9-A5B7-A04C38F1DC8F}"/>
    <hyperlink ref="D220" r:id="rId86" xr:uid="{88D4BD4B-F623-4952-A79C-DDDDA6310DE3}"/>
    <hyperlink ref="D177" r:id="rId87" xr:uid="{DA97B0B0-A3D0-4D3B-8CBD-47FF3894B7DC}"/>
    <hyperlink ref="D97" r:id="rId88" xr:uid="{CC6B340D-4407-4168-AFE6-6328E35137BE}"/>
    <hyperlink ref="D151" r:id="rId89" xr:uid="{56626897-6F84-4DCF-A3C8-A8B26AEA8150}"/>
    <hyperlink ref="D115" r:id="rId90" xr:uid="{1499EBBB-F6C8-4098-851F-DB3613FC7E19}"/>
    <hyperlink ref="D162" r:id="rId91" xr:uid="{CFF84A54-2E6C-47E8-95BA-9682953C223E}"/>
    <hyperlink ref="D216" r:id="rId92" xr:uid="{D5580697-A9DC-4AAF-BD1B-7B5B989384C6}"/>
    <hyperlink ref="D147" r:id="rId93" xr:uid="{349543A6-2FF3-4CC7-B81D-477D32B5810B}"/>
    <hyperlink ref="D128" r:id="rId94" xr:uid="{EC053EFB-FBAC-4DAE-8501-17D0866A8E55}"/>
    <hyperlink ref="D141" r:id="rId95" xr:uid="{38DC7C2A-43CE-4EBD-A1D4-12089A71327D}"/>
    <hyperlink ref="D187" r:id="rId96" xr:uid="{A9AD0D2B-0C63-4B69-9E71-C21EF107C14F}"/>
    <hyperlink ref="D233" r:id="rId97" xr:uid="{545855BB-F755-4EE7-B480-369E3E2E6AA7}"/>
    <hyperlink ref="D130" r:id="rId98" xr:uid="{F1CA9C4F-35F5-4CDF-870E-03853DDFFCEC}"/>
    <hyperlink ref="D159" r:id="rId99" xr:uid="{8E984141-30FB-45A5-9A14-3D5BB5C0C480}"/>
    <hyperlink ref="D82" r:id="rId100" xr:uid="{7BEE2765-7E8D-42E4-9808-CBFDA314F226}"/>
    <hyperlink ref="D196" r:id="rId101" xr:uid="{92F8C108-5D29-4946-A9F0-6C07AAA9E68C}"/>
    <hyperlink ref="D150" r:id="rId102" xr:uid="{1144718B-02D0-4D26-989F-A8434E528583}"/>
    <hyperlink ref="D129" r:id="rId103" xr:uid="{DCD0AB65-A246-4D51-A6BA-0AE7BC433640}"/>
    <hyperlink ref="D224" r:id="rId104" xr:uid="{41BABEAD-B56E-47A6-9FC2-D1A8D509D4DB}"/>
    <hyperlink ref="D161" r:id="rId105" xr:uid="{E547BFCE-2897-4DFA-8567-B74E64740923}"/>
    <hyperlink ref="D230" r:id="rId106" xr:uid="{2A163391-FD9B-4092-A0DD-4646C466FC6A}"/>
    <hyperlink ref="D93" r:id="rId107" xr:uid="{12B80300-B7F4-454B-8A0F-56B37DE6108E}"/>
    <hyperlink ref="D207" r:id="rId108" xr:uid="{805F911A-C2D5-4FFE-A565-F11A43E1CC13}"/>
    <hyperlink ref="D166" r:id="rId109" xr:uid="{0BFDE164-5F22-45A2-88D4-5676BD53B98C}"/>
    <hyperlink ref="D195" r:id="rId110" xr:uid="{C946C948-A784-44C7-BF11-A96DB3BB25DC}"/>
    <hyperlink ref="D94" r:id="rId111" xr:uid="{DD1B0158-FEDB-4196-B6F0-B05FDDFFEFF8}"/>
    <hyperlink ref="D238" r:id="rId112" xr:uid="{2C125FB4-FD34-496E-9BA0-E2EECD660FD1}"/>
    <hyperlink ref="D236" r:id="rId113" xr:uid="{5C514D59-AFF9-4CFE-9F57-D58E94536CB4}"/>
    <hyperlink ref="D237" r:id="rId114" xr:uid="{F3F2E377-726C-4F9B-AECE-E3490898B62C}"/>
    <hyperlink ref="D239" r:id="rId115" xr:uid="{8AE77DF0-8F89-44C1-9C7C-B00B1E8EE02D}"/>
    <hyperlink ref="D240" r:id="rId116" xr:uid="{AB3F28E2-57EE-4FB6-88BD-424E29E03BE9}"/>
    <hyperlink ref="D242" r:id="rId117" xr:uid="{DF56E8C5-E3DA-4CBC-977E-495332D093B7}"/>
    <hyperlink ref="D245" r:id="rId118" xr:uid="{47EB8930-ABBA-4D5D-B243-3D320153E98A}"/>
    <hyperlink ref="D243" r:id="rId119" xr:uid="{B2D6B918-745F-4721-9ADC-524ACC1A7B09}"/>
    <hyperlink ref="D241" r:id="rId120" xr:uid="{1369F702-9F7B-4384-A355-E10ACA90DEEB}"/>
    <hyperlink ref="D244" r:id="rId121" xr:uid="{51901C9A-FDFB-4667-A373-B474F4831F38}"/>
    <hyperlink ref="D251" r:id="rId122" xr:uid="{466035BC-9BD0-4BA2-91DE-15BEBB071AF3}"/>
    <hyperlink ref="D247" r:id="rId123" xr:uid="{B74FBD42-CD56-491D-8CE0-BE51113B26EB}"/>
    <hyperlink ref="D249" r:id="rId124" xr:uid="{8EA125BC-B68E-466F-AE23-6435FE779EC1}"/>
    <hyperlink ref="D250" r:id="rId125" xr:uid="{61410F89-69D5-4CB6-82E0-526FC68E7C0C}"/>
    <hyperlink ref="D248" r:id="rId126" xr:uid="{0553A271-43BE-4F37-ABA0-DA22AB55AB51}"/>
    <hyperlink ref="D246" r:id="rId127" xr:uid="{7D6C60DE-BE07-4850-A62D-AD4DBAEAAB18}"/>
    <hyperlink ref="D252" r:id="rId128" xr:uid="{895863D1-EDBF-4F74-8AE1-E57403B9B5DF}"/>
    <hyperlink ref="D253" r:id="rId129" xr:uid="{7E8884CA-2908-4B5E-8B47-A1ADC70AB70E}"/>
    <hyperlink ref="D254" r:id="rId130" xr:uid="{B339BB4B-24D7-4911-A003-0091B7AD1357}"/>
    <hyperlink ref="D255" r:id="rId131" xr:uid="{7BCE88C7-01D5-4473-81CF-5217340DB9A7}"/>
    <hyperlink ref="D113" r:id="rId132" xr:uid="{0852361E-2AB7-422D-9946-12040964C411}"/>
    <hyperlink ref="D124" r:id="rId133" xr:uid="{FD09A7B0-FEB9-4F48-8233-A5DF2179AB8D}"/>
    <hyperlink ref="D174" r:id="rId134" xr:uid="{B80818E9-C3BC-41CD-97AF-C7C31A1960BA}"/>
    <hyperlink ref="D89" r:id="rId135" xr:uid="{8E0C4C17-5C37-49CD-9154-10309257B99A}"/>
    <hyperlink ref="D144" r:id="rId136" xr:uid="{DB4AF93B-2B9A-48F8-AA99-AA50988ED4ED}"/>
    <hyperlink ref="D83" r:id="rId137" xr:uid="{1140F690-A408-4138-AEFD-E991DB3118B7}"/>
    <hyperlink ref="D119" r:id="rId138" xr:uid="{0A43F104-29E2-4FDC-8343-B6E71671AE93}"/>
    <hyperlink ref="D171" r:id="rId139" xr:uid="{16A704D5-F6B6-4DE8-A160-727E7918BD1C}"/>
    <hyperlink ref="D184" r:id="rId140" xr:uid="{967ABCBC-76D0-47F9-8B3E-705366CD978B}"/>
    <hyperlink ref="D191" r:id="rId141" xr:uid="{C5015064-BCCC-43E0-AEA4-1B506349A4B2}"/>
    <hyperlink ref="D206" r:id="rId142" xr:uid="{ECF1180E-22B9-4302-822C-91C4F59F71BB}"/>
    <hyperlink ref="D235" r:id="rId143" xr:uid="{CD48D96C-86AD-43AB-9B71-538802432F05}"/>
    <hyperlink ref="D256" r:id="rId144" xr:uid="{8FF61D91-34AD-4540-9CF7-873C3C3D472A}"/>
    <hyperlink ref="D257" r:id="rId145" xr:uid="{E8D48694-EA94-412D-B03C-0ACE6F162F1A}"/>
    <hyperlink ref="D258" r:id="rId146" xr:uid="{239CF078-91FE-4E08-A112-89A6CBE93DCC}"/>
    <hyperlink ref="D259" r:id="rId147" xr:uid="{8C9BAFCC-C558-432F-A436-A836FD3E13CF}"/>
    <hyperlink ref="D260" r:id="rId148" xr:uid="{742759F9-ABA4-4B15-BF6E-CD325B22E078}"/>
    <hyperlink ref="D261" r:id="rId149" xr:uid="{86603B54-C9BD-4803-863A-B022B9E41EFF}"/>
    <hyperlink ref="D262" r:id="rId150" xr:uid="{2355F2F1-C16C-4DF0-A06E-027CE1CFF0CA}"/>
    <hyperlink ref="D264" r:id="rId151" xr:uid="{712CFA62-5C82-4AC6-9217-C879738C7056}"/>
    <hyperlink ref="D265" r:id="rId152" xr:uid="{FF19D05D-501C-4EF0-BA82-9FCF5C514BD2}"/>
    <hyperlink ref="D267" r:id="rId153" xr:uid="{650C8A9B-6766-4DA1-ADDA-A3E492F610EB}"/>
    <hyperlink ref="D268" r:id="rId154" xr:uid="{D3EFA27C-3FB2-4395-BD95-FC1DD7BDE45A}"/>
    <hyperlink ref="D269" r:id="rId155" xr:uid="{70D1EFB8-CC8D-4A37-B6D1-F74844C359B8}"/>
    <hyperlink ref="D270" r:id="rId156" xr:uid="{650D0DBD-9DE2-4AD0-95CD-9FDBE203EC05}"/>
    <hyperlink ref="D273" r:id="rId157" xr:uid="{2EE2FD46-F500-4002-BE4B-4A023D3375CF}"/>
    <hyperlink ref="D275" r:id="rId158" xr:uid="{9838F251-065D-40A7-B45E-13DB6664C05C}"/>
    <hyperlink ref="D276" r:id="rId159" xr:uid="{E36E5AC1-10D6-409D-9A7F-332DDFF2CA7E}"/>
    <hyperlink ref="D277" r:id="rId160" xr:uid="{27F71997-36EB-42B8-8C45-5A9B3B5105BA}"/>
    <hyperlink ref="D280" r:id="rId161" xr:uid="{1832D527-A367-4E5D-88C5-296EBA2E8CAF}"/>
    <hyperlink ref="D281" r:id="rId162" xr:uid="{63BE406C-ADED-4829-97F8-F78572D29A18}"/>
    <hyperlink ref="D282" r:id="rId163" xr:uid="{BFDD8FA8-315B-4505-92B8-05B8C7740A7B}"/>
    <hyperlink ref="D283" r:id="rId164" xr:uid="{8378B2CE-B9F4-446D-8922-98BF2F70E585}"/>
    <hyperlink ref="D285" r:id="rId165" xr:uid="{18001646-9741-4D5F-A1C7-B6A109ECD5E4}"/>
    <hyperlink ref="D286" r:id="rId166" xr:uid="{BD84DB57-10FE-4367-835B-9D63439A2915}"/>
    <hyperlink ref="D287" r:id="rId167" xr:uid="{2E59B02A-9DA2-4E54-B583-131ACB4A4C8C}"/>
    <hyperlink ref="D288" r:id="rId168" xr:uid="{02033ACF-0CA0-43C1-97E2-59C419F9C7F4}"/>
    <hyperlink ref="D290" r:id="rId169" xr:uid="{E12C0CAA-F548-4428-96F6-E7A077C63F20}"/>
    <hyperlink ref="D291" r:id="rId170" xr:uid="{40D568EB-8135-4A1E-8054-DC1FA795F7D6}"/>
    <hyperlink ref="D292" r:id="rId171" xr:uid="{E045B284-4704-4B65-B616-33277EC390A4}"/>
    <hyperlink ref="D294" r:id="rId172" xr:uid="{E4127440-E2DA-4B3E-9F38-8DC7496E865B}"/>
    <hyperlink ref="D295" r:id="rId173" xr:uid="{C7BA9A92-A8B6-43A8-B6DB-06F2F6FD958F}"/>
    <hyperlink ref="D297" r:id="rId174" xr:uid="{C4EB0E80-598F-4C97-AD3E-BDD03C356C84}"/>
  </hyperlinks>
  <pageMargins left="0.7" right="0.7" top="0.75" bottom="0.75" header="0.3" footer="0.3"/>
  <pageSetup paperSize="9" orientation="portrait" r:id="rId175"/>
  <legacyDrawing r:id="rId17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6c43dd-b916-4a12-94b1-d0d436a138b8" xsi:nil="true"/>
    <lcf76f155ced4ddcb4097134ff3c332f xmlns="f6c635a0-c3e8-4621-aaa5-d3a6e6ab7e6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B21308553DBB4F90622CDD0FE43F28" ma:contentTypeVersion="21" ma:contentTypeDescription="Crear nuevo documento." ma:contentTypeScope="" ma:versionID="6c87de59fa9048bc157a911e5d80b4fe">
  <xsd:schema xmlns:xsd="http://www.w3.org/2001/XMLSchema" xmlns:xs="http://www.w3.org/2001/XMLSchema" xmlns:p="http://schemas.microsoft.com/office/2006/metadata/properties" xmlns:ns2="f6c635a0-c3e8-4621-aaa5-d3a6e6ab7e68" xmlns:ns3="6a6c43dd-b916-4a12-94b1-d0d436a138b8" targetNamespace="http://schemas.microsoft.com/office/2006/metadata/properties" ma:root="true" ma:fieldsID="581ab5fc4a34cee0f537fe98bd646b00" ns2:_="" ns3:_="">
    <xsd:import namespace="f6c635a0-c3e8-4621-aaa5-d3a6e6ab7e68"/>
    <xsd:import namespace="6a6c43dd-b916-4a12-94b1-d0d436a1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35a0-c3e8-4621-aaa5-d3a6e6ab7e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26490782-9a68-40af-b7e0-8c4aabd283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c43dd-b916-4a12-94b1-d0d436a138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bd5ae65-374e-4274-90c3-e29cd073629d}" ma:internalName="TaxCatchAll" ma:showField="CatchAllData" ma:web="6a6c43dd-b916-4a12-94b1-d0d436a1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46496-FE71-4394-A41D-BE4278F0B96D}">
  <ds:schemaRefs>
    <ds:schemaRef ds:uri="http://schemas.microsoft.com/office/2006/metadata/properties"/>
    <ds:schemaRef ds:uri="http://schemas.microsoft.com/office/infopath/2007/PartnerControls"/>
    <ds:schemaRef ds:uri="6a6c43dd-b916-4a12-94b1-d0d436a138b8"/>
    <ds:schemaRef ds:uri="f6c635a0-c3e8-4621-aaa5-d3a6e6ab7e68"/>
  </ds:schemaRefs>
</ds:datastoreItem>
</file>

<file path=customXml/itemProps2.xml><?xml version="1.0" encoding="utf-8"?>
<ds:datastoreItem xmlns:ds="http://schemas.openxmlformats.org/officeDocument/2006/customXml" ds:itemID="{524A2201-7E06-4547-AB15-3EE9B79A30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5A064E-7E05-4181-B90C-0FE87B512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c635a0-c3e8-4621-aaa5-d3a6e6ab7e68"/>
    <ds:schemaRef ds:uri="6a6c43dd-b916-4a12-94b1-d0d436a13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Matriz contrato Activos</vt:lpstr>
      <vt:lpstr>Liquidados</vt:lpstr>
      <vt:lpstr>'Matriz contrato Activos'!Área_de_impresión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Kathiusca Chaparro</dc:creator>
  <cp:keywords/>
  <dc:description/>
  <cp:lastModifiedBy>Raul Andrade</cp:lastModifiedBy>
  <cp:revision/>
  <dcterms:created xsi:type="dcterms:W3CDTF">2026-02-23T13:00:34Z</dcterms:created>
  <dcterms:modified xsi:type="dcterms:W3CDTF">2026-03-06T14:17:55Z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fdd688-922c-40ce-b2d9-7fbf190f6921_Enabled">
    <vt:lpwstr>true</vt:lpwstr>
  </property>
  <property fmtid="{D5CDD505-2E9C-101B-9397-08002B2CF9AE}" pid="3" name="MSIP_Label_e5fdd688-922c-40ce-b2d9-7fbf190f6921_SetDate">
    <vt:lpwstr>2026-02-23T13:00:50Z</vt:lpwstr>
  </property>
  <property fmtid="{D5CDD505-2E9C-101B-9397-08002B2CF9AE}" pid="4" name="MSIP_Label_e5fdd688-922c-40ce-b2d9-7fbf190f6921_Method">
    <vt:lpwstr>Standard</vt:lpwstr>
  </property>
  <property fmtid="{D5CDD505-2E9C-101B-9397-08002B2CF9AE}" pid="5" name="MSIP_Label_e5fdd688-922c-40ce-b2d9-7fbf190f6921_Name">
    <vt:lpwstr>defa4170-0d19-0005-0004-bc88714345d2</vt:lpwstr>
  </property>
  <property fmtid="{D5CDD505-2E9C-101B-9397-08002B2CF9AE}" pid="6" name="MSIP_Label_e5fdd688-922c-40ce-b2d9-7fbf190f6921_SiteId">
    <vt:lpwstr>12f2a4b5-4935-464d-9dae-e0525d0c593f</vt:lpwstr>
  </property>
  <property fmtid="{D5CDD505-2E9C-101B-9397-08002B2CF9AE}" pid="7" name="MSIP_Label_e5fdd688-922c-40ce-b2d9-7fbf190f6921_ActionId">
    <vt:lpwstr>14e5d186-9c71-4242-bd36-d49289d20724</vt:lpwstr>
  </property>
  <property fmtid="{D5CDD505-2E9C-101B-9397-08002B2CF9AE}" pid="8" name="MSIP_Label_e5fdd688-922c-40ce-b2d9-7fbf190f6921_ContentBits">
    <vt:lpwstr>0</vt:lpwstr>
  </property>
  <property fmtid="{D5CDD505-2E9C-101B-9397-08002B2CF9AE}" pid="9" name="MSIP_Label_e5fdd688-922c-40ce-b2d9-7fbf190f6921_Tag">
    <vt:lpwstr>10, 3, 0, 1</vt:lpwstr>
  </property>
  <property fmtid="{D5CDD505-2E9C-101B-9397-08002B2CF9AE}" pid="10" name="ContentTypeId">
    <vt:lpwstr>0x010100B3B21308553DBB4F90622CDD0FE43F28</vt:lpwstr>
  </property>
  <property fmtid="{D5CDD505-2E9C-101B-9397-08002B2CF9AE}" pid="11" name="MediaServiceImageTags">
    <vt:lpwstr/>
  </property>
</Properties>
</file>